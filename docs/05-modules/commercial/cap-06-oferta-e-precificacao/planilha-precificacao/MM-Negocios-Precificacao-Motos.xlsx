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Leia-me" sheetId="1" state="visible" r:id="rId1"/>
    <sheet name="00-Parametros" sheetId="2" state="visible" r:id="rId2"/>
    <sheet name="01-Cadastro-Motos" sheetId="3" state="visible" r:id="rId3"/>
    <sheet name="02-Custos-Diretos" sheetId="4" state="visible" r:id="rId4"/>
    <sheet name="03-Marketing" sheetId="5" state="visible" r:id="rId5"/>
    <sheet name="04-Comercial" sheetId="6" state="visible" r:id="rId6"/>
    <sheet name="05-Financeiro" sheetId="7" state="visible" r:id="rId7"/>
    <sheet name="06-Precificacao" sheetId="8" state="visible" r:id="rId8"/>
    <sheet name="07-Estoque-Dinamica" sheetId="9" state="visible" r:id="rId9"/>
    <sheet name="08-Vendas-Negociacao" sheetId="10" state="visible" r:id="rId10"/>
    <sheet name="09-Ranking-Vendedores" sheetId="11" state="visible" r:id="rId11"/>
    <sheet name="10-Indicadores-KPIs" sheetId="12" state="visible" r:id="rId12"/>
    <sheet name="11-Curva-ABC" sheetId="13" state="visible" r:id="rId13"/>
    <sheet name="12-Governanca-Historico" sheetId="14" state="visible" r:id="rId14"/>
    <sheet name="13-Dashboard" sheetId="15" state="visible" r:id="rId15"/>
  </sheets>
  <definedNames>
    <definedName name="MARGEM_ESTRATEGICA">'00-Parametros'!$C$5</definedName>
    <definedName name="MARGEM_COMERCIAL">'00-Parametros'!$C$6</definedName>
    <definedName name="MARGEM_NEGOCIACAO">'00-Parametros'!$C$7</definedName>
    <definedName name="MARGEM_LP">'00-Parametros'!$C$8</definedName>
    <definedName name="IMPOSTOS_PCT">'00-Parametros'!$C$9</definedName>
    <definedName name="COMISSAO_PADRAO_PCT">'00-Parametros'!$C$10</definedName>
    <definedName name="MARKETING_PROVISIONADO_PCT">'00-Parametros'!$C$11</definedName>
    <definedName name="RESERVA_FINANCEIRA_PCT">'00-Parametros'!$C$12</definedName>
    <definedName name="TAXA_FINANCEIRA_MENSAL">'00-Parametros'!$C$13</definedName>
    <definedName name="TAXA_OPORTUNIDADE_MENSAL">'00-Parametros'!$C$14</definedName>
    <definedName name="DIAS_ESTOQUE_META">'00-Parametros'!$C$15</definedName>
    <definedName name="CUSTO_OPERACIONAL_RATEIO_UNITARIO">'00-Parametros'!$C$16</definedName>
    <definedName name="FASE1_MAX_DIAS">'00-Parametros'!$C$17</definedName>
    <definedName name="FASE2_MAX_DIAS">'00-Parametros'!$C$18</definedName>
    <definedName name="FASE3_MAX_DIAS">'00-Parametros'!$C$19</definedName>
    <definedName name="SAUDE_PREMIUM_MAX_DIAS">'00-Parametros'!$C$20</definedName>
    <definedName name="SAUDE_SAUDAVEL_MAX_DIAS">'00-Parametros'!$C$21</definedName>
    <definedName name="SAUDE_ATENCAO_MAX_DIAS">'00-Parametros'!$C$22</definedName>
    <definedName name="DEPRECIACAO_MENSAL_CATEGORIA_PCT">'00-Parametros'!$C$23</definedName>
  </definedNames>
  <calcPr calcId="124519" fullCalcOnLoad="1"/>
</workbook>
</file>

<file path=xl/styles.xml><?xml version="1.0" encoding="utf-8"?>
<styleSheet xmlns="http://schemas.openxmlformats.org/spreadsheetml/2006/main">
  <numFmts count="4">
    <numFmt numFmtId="164" formatCode="0.0%"/>
    <numFmt numFmtId="165" formatCode="#,##0.00&quot; R$&quot;"/>
    <numFmt numFmtId="166" formatCode="yyyy-mm-dd"/>
    <numFmt numFmtId="167" formatCode="0.00&quot;x&quot;"/>
  </numFmts>
  <fonts count="6">
    <font>
      <name val="Calibri"/>
      <family val="2"/>
      <color theme="1"/>
      <sz val="11"/>
      <scheme val="minor"/>
    </font>
    <font>
      <b val="1"/>
      <color rgb="001F3864"/>
      <sz val="16"/>
    </font>
    <font>
      <i val="1"/>
      <color rgb="007F7F7F"/>
      <sz val="9"/>
    </font>
    <font>
      <b val="1"/>
      <color rgb="001F3864"/>
      <sz val="12"/>
    </font>
    <font>
      <b val="1"/>
      <color rgb="00FFFFFF"/>
      <sz val="11"/>
    </font>
    <font>
      <b val="1"/>
      <sz val="11"/>
    </font>
  </fonts>
  <fills count="7">
    <fill>
      <patternFill/>
    </fill>
    <fill>
      <patternFill patternType="gray125"/>
    </fill>
    <fill>
      <patternFill patternType="solid">
        <fgColor rgb="001F3864"/>
      </patternFill>
    </fill>
    <fill>
      <patternFill patternType="solid">
        <fgColor rgb="00FFF9DB"/>
      </patternFill>
    </fill>
    <fill>
      <patternFill patternType="solid">
        <fgColor rgb="00F2F2F2"/>
      </patternFill>
    </fill>
    <fill>
      <patternFill patternType="solid">
        <fgColor rgb="00E2EFDA"/>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164" fontId="0" fillId="3" borderId="1" pivotButton="0" quotePrefix="0" xfId="0"/>
    <xf numFmtId="0" fontId="0" fillId="0" borderId="1" applyAlignment="1" pivotButton="0" quotePrefix="0" xfId="0">
      <alignment wrapText="1"/>
    </xf>
    <xf numFmtId="1" fontId="0" fillId="3" borderId="1" pivotButton="0" quotePrefix="0" xfId="0"/>
    <xf numFmtId="165" fontId="0" fillId="3" borderId="1" pivotButton="0" quotePrefix="0" xfId="0"/>
    <xf numFmtId="166" fontId="0" fillId="0" borderId="0" pivotButton="0" quotePrefix="0" xfId="0"/>
    <xf numFmtId="165" fontId="0" fillId="0" borderId="0" pivotButton="0" quotePrefix="0" xfId="0"/>
    <xf numFmtId="1" fontId="0" fillId="0" borderId="1" pivotButton="0" quotePrefix="0" xfId="0"/>
    <xf numFmtId="166" fontId="0" fillId="0" borderId="1" pivotButton="0" quotePrefix="0" xfId="0"/>
    <xf numFmtId="165" fontId="0" fillId="0" borderId="1" pivotButton="0" quotePrefix="0" xfId="0"/>
    <xf numFmtId="165" fontId="0" fillId="4" borderId="1" pivotButton="0" quotePrefix="0" xfId="0"/>
    <xf numFmtId="0" fontId="0" fillId="3" borderId="1" pivotButton="0" quotePrefix="0" xfId="0"/>
    <xf numFmtId="164" fontId="0" fillId="0" borderId="1" pivotButton="0" quotePrefix="0" xfId="0"/>
    <xf numFmtId="0" fontId="0" fillId="4" borderId="1" pivotButton="0" quotePrefix="0" xfId="0"/>
    <xf numFmtId="167" fontId="0" fillId="4" borderId="1" pivotButton="0" quotePrefix="0" xfId="0"/>
    <xf numFmtId="0" fontId="4" fillId="2" borderId="0" applyAlignment="1" pivotButton="0" quotePrefix="0" xfId="0">
      <alignment horizontal="center" wrapText="1"/>
    </xf>
    <xf numFmtId="165" fontId="0" fillId="5" borderId="1" pivotButton="0" quotePrefix="0" xfId="0"/>
    <xf numFmtId="1" fontId="0" fillId="4" borderId="1" pivotButton="0" quotePrefix="0" xfId="0"/>
    <xf numFmtId="166" fontId="0" fillId="3" borderId="1" pivotButton="0" quotePrefix="0" xfId="0"/>
    <xf numFmtId="164" fontId="0" fillId="4" borderId="1" pivotButton="0" quotePrefix="0" xfId="0"/>
    <xf numFmtId="0" fontId="2" fillId="0" borderId="1" pivotButton="0" quotePrefix="0" xfId="0"/>
    <xf numFmtId="0" fontId="0" fillId="4" borderId="0" pivotButton="0" quotePrefix="0" xfId="0"/>
    <xf numFmtId="165" fontId="5" fillId="5" borderId="1" pivotButton="0" quotePrefix="0" xfId="0"/>
    <xf numFmtId="164" fontId="5" fillId="5" borderId="1" pivotButton="0" quotePrefix="0" xfId="0"/>
    <xf numFmtId="164" fontId="5" fillId="6" borderId="1" pivotButton="0" quotePrefix="0" xfId="0"/>
    <xf numFmtId="1" fontId="5" fillId="6" borderId="1" pivotButton="0" quotePrefix="0" xfId="0"/>
  </cellXfs>
  <cellStyles count="1">
    <cellStyle name="Normal" xfId="0" builtinId="0" hidden="0"/>
  </cellStyles>
  <dxfs count="4">
    <dxf>
      <fill>
        <patternFill patternType="solid">
          <fgColor rgb="00FFD9D9"/>
        </patternFill>
      </fill>
    </dxf>
    <dxf>
      <fill>
        <patternFill patternType="solid">
          <fgColor rgb="00FCE4E4"/>
        </patternFill>
      </fill>
    </dxf>
    <dxf>
      <fill>
        <patternFill patternType="solid">
          <fgColor rgb="00E2EFDA"/>
        </patternFill>
      </fill>
    </dxf>
    <dxf>
      <font>
        <b val="1"/>
        <color rgb="00C0000C"/>
      </font>
      <fill>
        <patternFill patternType="solid">
          <fgColor rgb="00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a:p>
            <a:pPr>
              <a:defRPr/>
            </a:pPr>
            <a:r>
              <a:t>Distribuição do Estoque por Fase do Ciclo</a:t>
            </a:r>
          </a:p>
        </rich>
      </tx>
    </title>
    <plotArea>
      <pieChart>
        <varyColors val="1"/>
        <ser>
          <idx val="0"/>
          <order val="0"/>
          <spPr>
            <a:ln>
              <a:prstDash val="solid"/>
            </a:ln>
          </spPr>
          <cat>
            <numRef>
              <f>'13-Dashboard'!$A$23:$A$26</f>
            </numRef>
          </cat>
          <val>
            <numRef>
              <f>'13-Dashboard'!$B$23:$B$26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Lucro Total Entregue por Vendedor</a:t>
            </a:r>
          </a:p>
        </rich>
      </tx>
    </title>
    <plotArea>
      <barChart>
        <barDir val="col"/>
        <grouping val="clustered"/>
        <ser>
          <idx val="0"/>
          <order val="0"/>
          <spPr>
            <a:ln>
              <a:prstDash val="solid"/>
            </a:ln>
          </spPr>
          <cat>
            <numRef>
              <f>'13-Dashboard'!$A$29:$A$38</f>
            </numRef>
          </cat>
          <val>
            <numRef>
              <f>'13-Dashboard'!$B$29:$B$38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19</row>
      <rowOff>0</rowOff>
    </from>
    <ext cx="504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outlineLevelCol="0"/>
  <cols>
    <col width="3" customWidth="1" min="1" max="1"/>
    <col width="95" customWidth="1" min="2" max="2"/>
    <col width="3" customWidth="1" min="3" max="3"/>
  </cols>
  <sheetData>
    <row r="1">
      <c r="A1" s="1" t="inlineStr">
        <is>
          <t>MM NEGÓCIOS VEÍCULOS — Engenharia de Precificação de Motocicletas</t>
        </is>
      </c>
    </row>
    <row r="2">
      <c r="A2" s="2" t="inlineStr">
        <is>
          <t>Planilha operacional. Acompanha o manual: ENGENHARIA-PRECIFICACAO-MOTOS-MM.md</t>
        </is>
      </c>
    </row>
    <row r="4">
      <c r="B4" t="inlineStr"/>
    </row>
    <row r="5">
      <c r="B5" s="3" t="inlineStr">
        <is>
          <t>COMO USAR ESTA PLANILHA</t>
        </is>
      </c>
    </row>
    <row r="6">
      <c r="B6" t="inlineStr"/>
    </row>
    <row r="7">
      <c r="B7" t="inlineStr">
        <is>
          <t>1. Calibre a aba 00-Parametros primeiro (margens, taxas, impostos, faixas de dias).</t>
        </is>
      </c>
    </row>
    <row r="8">
      <c r="B8" t="inlineStr">
        <is>
          <t xml:space="preserve">   Todas as demais abas leem esses valores — nada é digitado duas vezes.</t>
        </is>
      </c>
    </row>
    <row r="9">
      <c r="B9" t="inlineStr">
        <is>
          <t>2. Cadastre a moto assim que ela entrar no estoque, na aba 01-Cadastro-Motos.</t>
        </is>
      </c>
    </row>
    <row r="10">
      <c r="B10" t="inlineStr">
        <is>
          <t>3. Lance os custos diretos (revisão, estética, documentação, frete, combustível,</t>
        </is>
      </c>
    </row>
    <row r="11">
      <c r="B11" t="inlineStr">
        <is>
          <t xml:space="preserve">   acessórios) na aba 02-Custos-Diretos assim que ocorrerem.</t>
        </is>
      </c>
    </row>
    <row r="12">
      <c r="B12" t="inlineStr">
        <is>
          <t>4. Se houver campanha de marketing específica para a moto, lance verba/leads/cliques</t>
        </is>
      </c>
    </row>
    <row r="13">
      <c r="B13" t="inlineStr">
        <is>
          <t xml:space="preserve">   na aba 03-Marketing.</t>
        </is>
      </c>
    </row>
    <row r="14">
      <c r="B14" t="inlineStr">
        <is>
          <t>5. A aba 06-Precificacao calcula sozinha: Custo Base e os 4 preços</t>
        </is>
      </c>
    </row>
    <row r="15">
      <c r="B15" t="inlineStr">
        <is>
          <t xml:space="preserve">   (Estratégico / Comercial / Negociação / LP). Não editar as colunas de fórmula.</t>
        </is>
      </c>
    </row>
    <row r="16">
      <c r="B16" t="inlineStr">
        <is>
          <t>6. A aba 07-Estoque-Dinamica calcula sozinha a fase (1 a 4), a classificação de</t>
        </is>
      </c>
    </row>
    <row r="17">
      <c r="B17" t="inlineStr">
        <is>
          <t xml:space="preserve">   saúde do estoque e o preço sugerido do dia, com base na data de hoje.</t>
        </is>
      </c>
    </row>
    <row r="18">
      <c r="B18" t="inlineStr">
        <is>
          <t>7. Ao vender, registre a venda real na aba 08-Vendas-Negociacao (vendedor, preço</t>
        </is>
      </c>
    </row>
    <row r="19">
      <c r="B19" t="inlineStr">
        <is>
          <t xml:space="preserve">   vendido, data). O sistema calcula desconto, margem realizada e sinaliza vendas</t>
        </is>
      </c>
    </row>
    <row r="20">
      <c r="B20" t="inlineStr">
        <is>
          <t xml:space="preserve">   abaixo do LP.</t>
        </is>
      </c>
    </row>
    <row r="21">
      <c r="B21" t="inlineStr">
        <is>
          <t>8. As abas 09, 10, 11 e 13 são de leitura — todos os indicadores e o dashboard</t>
        </is>
      </c>
    </row>
    <row r="22">
      <c r="B22" t="inlineStr">
        <is>
          <t xml:space="preserve">   calculam sozinhos a partir das abas anteriores.</t>
        </is>
      </c>
    </row>
    <row r="23">
      <c r="B23" t="inlineStr">
        <is>
          <t>9. Toda alteração manual de preço fora do fluxo automático (campanha, negociação</t>
        </is>
      </c>
    </row>
    <row r="24">
      <c r="B24" t="inlineStr">
        <is>
          <t xml:space="preserve">   excepcional, revisão gerencial de estoque crítico) deve ser registrada na aba</t>
        </is>
      </c>
    </row>
    <row r="25">
      <c r="B25" t="inlineStr">
        <is>
          <t xml:space="preserve">   12-Governanca-Historico — é ela que sustenta a auditoria.</t>
        </is>
      </c>
    </row>
    <row r="26">
      <c r="B26" t="inlineStr"/>
    </row>
    <row r="27">
      <c r="B27" s="3" t="inlineStr">
        <is>
          <t>REGRA DE OURO</t>
        </is>
      </c>
    </row>
    <row r="28">
      <c r="B28" t="inlineStr">
        <is>
          <t>Nenhuma venda deve ser registrada abaixo da coluna 'LP' da aba 06-Precificacao sem</t>
        </is>
      </c>
    </row>
    <row r="29">
      <c r="B29" t="inlineStr">
        <is>
          <t>aprovação formal de diretoria (ver Pilar 9 do manual). A coluna 'Abaixo do LP?' na</t>
        </is>
      </c>
    </row>
    <row r="30">
      <c r="B30" t="inlineStr">
        <is>
          <t>aba 08-Vendas-Negociacao sinaliza automaticamente qualquer ocorrência.</t>
        </is>
      </c>
    </row>
    <row r="31">
      <c r="B31" t="inlineStr"/>
    </row>
    <row r="32">
      <c r="B32" s="3" t="inlineStr">
        <is>
          <t>CHAVE DE INTEGRAÇÃO</t>
        </is>
      </c>
    </row>
    <row r="33">
      <c r="B33" t="inlineStr">
        <is>
          <t>Todas as abas usam a coluna 'ID Moto' como chave (ÍNDICE/CORRESP). A ordem das</t>
        </is>
      </c>
    </row>
    <row r="34">
      <c r="B34" t="inlineStr">
        <is>
          <t>linhas pode divergir entre abas sem quebrar nenhum cálculo.</t>
        </is>
      </c>
    </row>
    <row r="35">
      <c r="B35" t="inlineStr"/>
    </row>
    <row r="36">
      <c r="B36" t="inlineStr">
        <is>
          <t>Capacidade desta planilha: 120 motocicletas simultâneas em estoque/histórico.</t>
        </is>
      </c>
    </row>
    <row r="37">
      <c r="B37" t="inlineStr">
        <is>
          <t>Para ampliar, arraste as fórmulas da última linha preenchida para baixo.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pane ySplit="4" topLeftCell="A5" activePane="bottomLeft" state="frozen"/>
      <selection pane="bottomLeft" activeCell="A1" sqref="A1"/>
    </sheetView>
  </sheetViews>
  <sheetFormatPr baseColWidth="8" defaultRowHeight="15" outlineLevelCol="0"/>
  <cols>
    <col width="4" customWidth="1" min="1" max="1"/>
    <col width="42" customWidth="1" min="2" max="2"/>
    <col width="16" customWidth="1" min="3" max="3"/>
    <col width="46" customWidth="1" min="4" max="4"/>
  </cols>
  <sheetData>
    <row r="1">
      <c r="A1" s="1" t="inlineStr">
        <is>
          <t>Parâmetros da Empresa</t>
        </is>
      </c>
    </row>
    <row r="2">
      <c r="A2" s="2" t="inlineStr">
        <is>
          <t>Fonte única de verdade — todas as fórmulas leem daqui.</t>
        </is>
      </c>
    </row>
    <row r="4">
      <c r="A4" s="4" t="inlineStr">
        <is>
          <t>#</t>
        </is>
      </c>
      <c r="B4" s="4" t="inlineStr">
        <is>
          <t>Parâmetro</t>
        </is>
      </c>
      <c r="C4" s="4" t="inlineStr">
        <is>
          <t>Valor</t>
        </is>
      </c>
      <c r="D4" s="4" t="inlineStr">
        <is>
          <t>Observação</t>
        </is>
      </c>
    </row>
    <row r="5">
      <c r="A5" s="5" t="n">
        <v>1</v>
      </c>
      <c r="B5" s="5" t="inlineStr">
        <is>
          <t>MARGEM_ESTRATEGICA</t>
        </is>
      </c>
      <c r="C5" s="6" t="n">
        <v>0.25</v>
      </c>
      <c r="D5" s="7" t="inlineStr">
        <is>
          <t>% aplicado no divisor — Fase 1 / motos de alta procura</t>
        </is>
      </c>
    </row>
    <row r="6">
      <c r="A6" s="5" t="n">
        <v>2</v>
      </c>
      <c r="B6" s="5" t="inlineStr">
        <is>
          <t>MARGEM_COMERCIAL</t>
        </is>
      </c>
      <c r="C6" s="6" t="n">
        <v>0.16</v>
      </c>
      <c r="D6" s="7" t="inlineStr">
        <is>
          <t>% aplicado no divisor — preço-padrão da casa</t>
        </is>
      </c>
    </row>
    <row r="7">
      <c r="A7" s="5" t="n">
        <v>3</v>
      </c>
      <c r="B7" s="5" t="inlineStr">
        <is>
          <t>MARGEM_NEGOCIACAO</t>
        </is>
      </c>
      <c r="C7" s="6" t="n">
        <v>0.09</v>
      </c>
      <c r="D7" s="7" t="inlineStr">
        <is>
          <t>% aplicado no divisor — última concessão sem aprovação</t>
        </is>
      </c>
    </row>
    <row r="8">
      <c r="A8" s="5" t="n">
        <v>4</v>
      </c>
      <c r="B8" s="5" t="inlineStr">
        <is>
          <t>MARGEM_LP</t>
        </is>
      </c>
      <c r="C8" s="6" t="n">
        <v>0.04</v>
      </c>
      <c r="D8" s="7" t="inlineStr">
        <is>
          <t>% aplicado no divisor — piso absoluto (Lucro Presumido)</t>
        </is>
      </c>
    </row>
    <row r="9">
      <c r="A9" s="5" t="n">
        <v>5</v>
      </c>
      <c r="B9" s="5" t="inlineStr">
        <is>
          <t>IMPOSTOS_PCT</t>
        </is>
      </c>
      <c r="C9" s="6" t="n">
        <v>0.06</v>
      </c>
      <c r="D9" s="7" t="inlineStr">
        <is>
          <t>Alíquota efetiva sobre a venda</t>
        </is>
      </c>
    </row>
    <row r="10">
      <c r="A10" s="5" t="n">
        <v>6</v>
      </c>
      <c r="B10" s="5" t="inlineStr">
        <is>
          <t>COMISSAO_PADRAO_PCT</t>
        </is>
      </c>
      <c r="C10" s="6" t="n">
        <v>0.03</v>
      </c>
      <c r="D10" s="7" t="inlineStr">
        <is>
          <t>Comissão padrão do vendedor sobre o preço vendido</t>
        </is>
      </c>
    </row>
    <row r="11">
      <c r="A11" s="5" t="n">
        <v>7</v>
      </c>
      <c r="B11" s="5" t="inlineStr">
        <is>
          <t>MARKETING_PROVISIONADO_PCT</t>
        </is>
      </c>
      <c r="C11" s="6" t="n">
        <v>0.025</v>
      </c>
      <c r="D11" s="7" t="inlineStr">
        <is>
          <t>Verba de marketing provisionada, % do preço</t>
        </is>
      </c>
    </row>
    <row r="12">
      <c r="A12" s="5" t="n">
        <v>8</v>
      </c>
      <c r="B12" s="5" t="inlineStr">
        <is>
          <t>RESERVA_FINANCEIRA_PCT</t>
        </is>
      </c>
      <c r="C12" s="6" t="n">
        <v>0.02</v>
      </c>
      <c r="D12" s="7" t="inlineStr">
        <is>
          <t>Contingência/reserva financeira, % do preço</t>
        </is>
      </c>
    </row>
    <row r="13">
      <c r="A13" s="5" t="n">
        <v>9</v>
      </c>
      <c r="B13" s="5" t="inlineStr">
        <is>
          <t>TAXA_FINANCEIRA_MENSAL</t>
        </is>
      </c>
      <c r="C13" s="6" t="n">
        <v>0.02</v>
      </c>
      <c r="D13" s="7" t="inlineStr">
        <is>
          <t>Custo de capital (financiado ou próprio), ao mês</t>
        </is>
      </c>
    </row>
    <row r="14">
      <c r="A14" s="5" t="n">
        <v>10</v>
      </c>
      <c r="B14" s="5" t="inlineStr">
        <is>
          <t>TAXA_OPORTUNIDADE_MENSAL</t>
        </is>
      </c>
      <c r="C14" s="6" t="n">
        <v>0.015</v>
      </c>
      <c r="D14" s="7" t="inlineStr">
        <is>
          <t>Custo de oportunidade do capital próprio, ao mês</t>
        </is>
      </c>
    </row>
    <row r="15">
      <c r="A15" s="5" t="n">
        <v>11</v>
      </c>
      <c r="B15" s="5" t="inlineStr">
        <is>
          <t>DIAS_ESTOQUE_META</t>
        </is>
      </c>
      <c r="C15" s="8" t="n">
        <v>45</v>
      </c>
      <c r="D15" s="7" t="inlineStr">
        <is>
          <t>Giro médio esperado (dias) — usado na precificação inicial</t>
        </is>
      </c>
    </row>
    <row r="16">
      <c r="A16" s="5" t="n">
        <v>12</v>
      </c>
      <c r="B16" s="5" t="inlineStr">
        <is>
          <t>CUSTO_OPERACIONAL_RATEIO_UNITARIO</t>
        </is>
      </c>
      <c r="C16" s="9" t="n">
        <v>180</v>
      </c>
      <c r="D16" s="7" t="inlineStr">
        <is>
          <t>Despesas fixas do mês ÷ nº médio de motos vendidas/mês</t>
        </is>
      </c>
    </row>
    <row r="17">
      <c r="A17" s="5" t="n">
        <v>13</v>
      </c>
      <c r="B17" s="5" t="inlineStr">
        <is>
          <t>FASE1_MAX_DIAS</t>
        </is>
      </c>
      <c r="C17" s="8" t="n">
        <v>30</v>
      </c>
      <c r="D17" s="7" t="inlineStr">
        <is>
          <t>Fim da Fase 1 — Lançamento</t>
        </is>
      </c>
    </row>
    <row r="18">
      <c r="A18" s="5" t="n">
        <v>14</v>
      </c>
      <c r="B18" s="5" t="inlineStr">
        <is>
          <t>FASE2_MAX_DIAS</t>
        </is>
      </c>
      <c r="C18" s="8" t="n">
        <v>60</v>
      </c>
      <c r="D18" s="7" t="inlineStr">
        <is>
          <t>Fim da Fase 2 — Consolidação</t>
        </is>
      </c>
    </row>
    <row r="19">
      <c r="A19" s="5" t="n">
        <v>15</v>
      </c>
      <c r="B19" s="5" t="inlineStr">
        <is>
          <t>FASE3_MAX_DIAS</t>
        </is>
      </c>
      <c r="C19" s="8" t="n">
        <v>90</v>
      </c>
      <c r="D19" s="7" t="inlineStr">
        <is>
          <t>Fim da Fase 3 — Aceleração de Giro</t>
        </is>
      </c>
    </row>
    <row r="20">
      <c r="A20" s="5" t="n">
        <v>16</v>
      </c>
      <c r="B20" s="5" t="inlineStr">
        <is>
          <t>SAUDE_PREMIUM_MAX_DIAS</t>
        </is>
      </c>
      <c r="C20" s="8" t="n">
        <v>20</v>
      </c>
      <c r="D20" s="7" t="inlineStr">
        <is>
          <t>Estoque Premium: dias em estoque &lt;= este valor</t>
        </is>
      </c>
    </row>
    <row r="21">
      <c r="A21" s="5" t="n">
        <v>17</v>
      </c>
      <c r="B21" s="5" t="inlineStr">
        <is>
          <t>SAUDE_SAUDAVEL_MAX_DIAS</t>
        </is>
      </c>
      <c r="C21" s="8" t="n">
        <v>45</v>
      </c>
      <c r="D21" s="7" t="inlineStr">
        <is>
          <t>Estoque Saudável: dias em estoque &lt;= este valor</t>
        </is>
      </c>
    </row>
    <row r="22">
      <c r="A22" s="5" t="n">
        <v>18</v>
      </c>
      <c r="B22" s="5" t="inlineStr">
        <is>
          <t>SAUDE_ATENCAO_MAX_DIAS</t>
        </is>
      </c>
      <c r="C22" s="8" t="n">
        <v>75</v>
      </c>
      <c r="D22" s="7" t="inlineStr">
        <is>
          <t>Estoque Atenção: dias em estoque &lt;= este valor (acima = Crítico)</t>
        </is>
      </c>
    </row>
    <row r="23">
      <c r="A23" s="5" t="n">
        <v>19</v>
      </c>
      <c r="B23" s="5" t="inlineStr">
        <is>
          <t>DEPRECIACAO_MENSAL_CATEGORIA_PCT</t>
        </is>
      </c>
      <c r="C23" s="6" t="n">
        <v>0.01</v>
      </c>
      <c r="D23" s="7" t="inlineStr">
        <is>
          <t>Depreciação estimada de mercado ao mês, motos &gt;90 dias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23"/>
  <sheetViews>
    <sheetView workbookViewId="0">
      <pane ySplit="3" topLeftCell="A4" activePane="bottomLeft" state="frozen"/>
      <selection pane="bottomLeft" activeCell="A1" sqref="A1"/>
    </sheetView>
  </sheetViews>
  <sheetFormatPr baseColWidth="8" defaultRowHeight="15" outlineLevelCol="0"/>
  <cols>
    <col width="10" customWidth="1" min="1" max="1"/>
    <col width="20" customWidth="1" min="2" max="2"/>
    <col width="14" customWidth="1" min="3" max="3"/>
    <col width="8" customWidth="1" min="4" max="4"/>
    <col width="10" customWidth="1" min="5" max="5"/>
    <col width="10" customWidth="1" min="6" max="6"/>
    <col width="16" customWidth="1" min="7" max="7"/>
    <col width="14" customWidth="1" min="8" max="8"/>
    <col width="14" customWidth="1" min="9" max="9"/>
    <col width="16" customWidth="1" min="10" max="10"/>
    <col width="14" customWidth="1" min="11" max="11"/>
    <col width="12" customWidth="1" min="12" max="12"/>
    <col width="14" customWidth="1" min="13" max="13"/>
    <col width="14" customWidth="1" min="14" max="14"/>
    <col width="14" customWidth="1" min="15" max="15"/>
    <col width="14" customWidth="1" min="16" max="16"/>
  </cols>
  <sheetData>
    <row r="1">
      <c r="A1" s="1" t="inlineStr">
        <is>
          <t>Cadastro de Motocicletas</t>
        </is>
      </c>
    </row>
    <row r="3">
      <c r="A3" s="4" t="inlineStr">
        <is>
          <t>ID Moto</t>
        </is>
      </c>
      <c r="B3" s="4" t="inlineStr">
        <is>
          <t>Modelo</t>
        </is>
      </c>
      <c r="C3" s="4" t="inlineStr">
        <is>
          <t>Marca</t>
        </is>
      </c>
      <c r="D3" s="4" t="inlineStr">
        <is>
          <t>Ano</t>
        </is>
      </c>
      <c r="E3" s="4" t="inlineStr">
        <is>
          <t>Placa</t>
        </is>
      </c>
      <c r="F3" s="4" t="inlineStr">
        <is>
          <t>KM</t>
        </is>
      </c>
      <c r="G3" s="4" t="inlineStr">
        <is>
          <t>Categoria (giro)</t>
        </is>
      </c>
      <c r="H3" s="4" t="inlineStr">
        <is>
          <t>Data Compra</t>
        </is>
      </c>
      <c r="I3" s="4" t="inlineStr">
        <is>
          <t>Valor Compra (R$)</t>
        </is>
      </c>
      <c r="J3" s="4" t="inlineStr">
        <is>
          <t>Condição</t>
        </is>
      </c>
      <c r="K3" s="4" t="inlineStr">
        <is>
          <t>Status</t>
        </is>
      </c>
      <c r="L3" s="4" t="inlineStr">
        <is>
          <t>ID Vendedor Cadastro</t>
        </is>
      </c>
      <c r="M3" s="4" t="inlineStr">
        <is>
          <t>Data Venda</t>
        </is>
      </c>
      <c r="N3" s="4" t="inlineStr">
        <is>
          <t>Preço Venda Real (R$)</t>
        </is>
      </c>
      <c r="O3" s="4" t="inlineStr">
        <is>
          <t>ID Vendedor Venda</t>
        </is>
      </c>
      <c r="P3" s="4" t="inlineStr">
        <is>
          <t>Dias em Estoque</t>
        </is>
      </c>
    </row>
    <row r="4">
      <c r="A4" t="inlineStr">
        <is>
          <t>MOTO-001</t>
        </is>
      </c>
      <c r="B4" t="inlineStr">
        <is>
          <t>Honda CG 160 Titan 2022</t>
        </is>
      </c>
      <c r="C4" t="inlineStr">
        <is>
          <t>Honda</t>
        </is>
      </c>
      <c r="D4" t="n">
        <v>2022</v>
      </c>
      <c r="E4" t="inlineStr">
        <is>
          <t>ABC1D23</t>
        </is>
      </c>
      <c r="F4" t="n">
        <v>8200</v>
      </c>
      <c r="G4" t="inlineStr">
        <is>
          <t>Giro Médio</t>
        </is>
      </c>
      <c r="H4" s="10" t="n">
        <v>46166</v>
      </c>
      <c r="I4" s="11" t="n">
        <v>9500</v>
      </c>
      <c r="J4" t="inlineStr">
        <is>
          <t>Boa</t>
        </is>
      </c>
      <c r="K4" t="inlineStr">
        <is>
          <t>Em Estoque</t>
        </is>
      </c>
      <c r="L4" t="inlineStr">
        <is>
          <t>VEND-01</t>
        </is>
      </c>
      <c r="M4" s="10" t="n"/>
      <c r="N4" s="11" t="n"/>
      <c r="P4" s="12">
        <f>IF($H4="","",IF($K4="Vendida",IF($M4="","",$M4-$H4),TODAY()-$H4))</f>
        <v/>
      </c>
    </row>
    <row r="5">
      <c r="A5" t="inlineStr">
        <is>
          <t>MOTO-002</t>
        </is>
      </c>
      <c r="B5" t="inlineStr">
        <is>
          <t>Yamaha Fazer 250 2021</t>
        </is>
      </c>
      <c r="C5" t="inlineStr">
        <is>
          <t>Yamaha</t>
        </is>
      </c>
      <c r="D5" t="n">
        <v>2021</v>
      </c>
      <c r="E5" t="inlineStr">
        <is>
          <t>XYZ2E45</t>
        </is>
      </c>
      <c r="F5" t="n">
        <v>15300</v>
      </c>
      <c r="G5" t="inlineStr">
        <is>
          <t>Giro Alto</t>
        </is>
      </c>
      <c r="H5" s="10" t="n">
        <v>46147</v>
      </c>
      <c r="I5" s="11" t="n">
        <v>11000</v>
      </c>
      <c r="J5" t="inlineStr">
        <is>
          <t>Boa</t>
        </is>
      </c>
      <c r="K5" t="inlineStr">
        <is>
          <t>Vendida</t>
        </is>
      </c>
      <c r="L5" t="inlineStr">
        <is>
          <t>VEND-02</t>
        </is>
      </c>
      <c r="M5" s="10" t="n">
        <v>46187</v>
      </c>
      <c r="N5" s="11" t="n">
        <v>16000</v>
      </c>
      <c r="O5" t="inlineStr">
        <is>
          <t>VEND-02</t>
        </is>
      </c>
      <c r="P5" s="12">
        <f>IF($H5="","",IF($K5="Vendida",IF($M5="","",$M5-$H5),TODAY()-$H5))</f>
        <v/>
      </c>
    </row>
    <row r="6">
      <c r="A6" s="5" t="n"/>
      <c r="B6" s="5" t="n"/>
      <c r="C6" s="5" t="n"/>
      <c r="D6" s="5" t="n"/>
      <c r="E6" s="5" t="n"/>
      <c r="F6" s="5" t="n"/>
      <c r="G6" s="5" t="n"/>
      <c r="H6" s="13" t="n"/>
      <c r="I6" s="14" t="n"/>
      <c r="J6" s="5" t="n"/>
      <c r="K6" s="5" t="n"/>
      <c r="L6" s="5" t="n"/>
      <c r="M6" s="13" t="n"/>
      <c r="N6" s="14" t="n"/>
      <c r="O6" s="5" t="n"/>
      <c r="P6" s="12">
        <f>IF($H6="","",IF($K6="Vendida",IF($M6="","",$M6-$H6),TODAY()-$H6))</f>
        <v/>
      </c>
    </row>
    <row r="7">
      <c r="A7" s="5" t="n"/>
      <c r="B7" s="5" t="n"/>
      <c r="C7" s="5" t="n"/>
      <c r="D7" s="5" t="n"/>
      <c r="E7" s="5" t="n"/>
      <c r="F7" s="5" t="n"/>
      <c r="G7" s="5" t="n"/>
      <c r="H7" s="13" t="n"/>
      <c r="I7" s="14" t="n"/>
      <c r="J7" s="5" t="n"/>
      <c r="K7" s="5" t="n"/>
      <c r="L7" s="5" t="n"/>
      <c r="M7" s="13" t="n"/>
      <c r="N7" s="14" t="n"/>
      <c r="O7" s="5" t="n"/>
      <c r="P7" s="12">
        <f>IF($H7="","",IF($K7="Vendida",IF($M7="","",$M7-$H7),TODAY()-$H7))</f>
        <v/>
      </c>
    </row>
    <row r="8">
      <c r="A8" s="5" t="n"/>
      <c r="B8" s="5" t="n"/>
      <c r="C8" s="5" t="n"/>
      <c r="D8" s="5" t="n"/>
      <c r="E8" s="5" t="n"/>
      <c r="F8" s="5" t="n"/>
      <c r="G8" s="5" t="n"/>
      <c r="H8" s="13" t="n"/>
      <c r="I8" s="14" t="n"/>
      <c r="J8" s="5" t="n"/>
      <c r="K8" s="5" t="n"/>
      <c r="L8" s="5" t="n"/>
      <c r="M8" s="13" t="n"/>
      <c r="N8" s="14" t="n"/>
      <c r="O8" s="5" t="n"/>
      <c r="P8" s="12">
        <f>IF($H8="","",IF($K8="Vendida",IF($M8="","",$M8-$H8),TODAY()-$H8))</f>
        <v/>
      </c>
    </row>
    <row r="9">
      <c r="A9" s="5" t="n"/>
      <c r="B9" s="5" t="n"/>
      <c r="C9" s="5" t="n"/>
      <c r="D9" s="5" t="n"/>
      <c r="E9" s="5" t="n"/>
      <c r="F9" s="5" t="n"/>
      <c r="G9" s="5" t="n"/>
      <c r="H9" s="13" t="n"/>
      <c r="I9" s="14" t="n"/>
      <c r="J9" s="5" t="n"/>
      <c r="K9" s="5" t="n"/>
      <c r="L9" s="5" t="n"/>
      <c r="M9" s="13" t="n"/>
      <c r="N9" s="14" t="n"/>
      <c r="O9" s="5" t="n"/>
      <c r="P9" s="12">
        <f>IF($H9="","",IF($K9="Vendida",IF($M9="","",$M9-$H9),TODAY()-$H9))</f>
        <v/>
      </c>
    </row>
    <row r="10">
      <c r="A10" s="5" t="n"/>
      <c r="B10" s="5" t="n"/>
      <c r="C10" s="5" t="n"/>
      <c r="D10" s="5" t="n"/>
      <c r="E10" s="5" t="n"/>
      <c r="F10" s="5" t="n"/>
      <c r="G10" s="5" t="n"/>
      <c r="H10" s="13" t="n"/>
      <c r="I10" s="14" t="n"/>
      <c r="J10" s="5" t="n"/>
      <c r="K10" s="5" t="n"/>
      <c r="L10" s="5" t="n"/>
      <c r="M10" s="13" t="n"/>
      <c r="N10" s="14" t="n"/>
      <c r="O10" s="5" t="n"/>
      <c r="P10" s="12">
        <f>IF($H10="","",IF($K10="Vendida",IF($M10="","",$M10-$H10),TODAY()-$H10))</f>
        <v/>
      </c>
    </row>
    <row r="11">
      <c r="A11" s="5" t="n"/>
      <c r="B11" s="5" t="n"/>
      <c r="C11" s="5" t="n"/>
      <c r="D11" s="5" t="n"/>
      <c r="E11" s="5" t="n"/>
      <c r="F11" s="5" t="n"/>
      <c r="G11" s="5" t="n"/>
      <c r="H11" s="13" t="n"/>
      <c r="I11" s="14" t="n"/>
      <c r="J11" s="5" t="n"/>
      <c r="K11" s="5" t="n"/>
      <c r="L11" s="5" t="n"/>
      <c r="M11" s="13" t="n"/>
      <c r="N11" s="14" t="n"/>
      <c r="O11" s="5" t="n"/>
      <c r="P11" s="12">
        <f>IF($H11="","",IF($K11="Vendida",IF($M11="","",$M11-$H11),TODAY()-$H11))</f>
        <v/>
      </c>
    </row>
    <row r="12">
      <c r="A12" s="5" t="n"/>
      <c r="B12" s="5" t="n"/>
      <c r="C12" s="5" t="n"/>
      <c r="D12" s="5" t="n"/>
      <c r="E12" s="5" t="n"/>
      <c r="F12" s="5" t="n"/>
      <c r="G12" s="5" t="n"/>
      <c r="H12" s="13" t="n"/>
      <c r="I12" s="14" t="n"/>
      <c r="J12" s="5" t="n"/>
      <c r="K12" s="5" t="n"/>
      <c r="L12" s="5" t="n"/>
      <c r="M12" s="13" t="n"/>
      <c r="N12" s="14" t="n"/>
      <c r="O12" s="5" t="n"/>
      <c r="P12" s="12">
        <f>IF($H12="","",IF($K12="Vendida",IF($M12="","",$M12-$H12),TODAY()-$H12))</f>
        <v/>
      </c>
    </row>
    <row r="13">
      <c r="A13" s="5" t="n"/>
      <c r="B13" s="5" t="n"/>
      <c r="C13" s="5" t="n"/>
      <c r="D13" s="5" t="n"/>
      <c r="E13" s="5" t="n"/>
      <c r="F13" s="5" t="n"/>
      <c r="G13" s="5" t="n"/>
      <c r="H13" s="13" t="n"/>
      <c r="I13" s="14" t="n"/>
      <c r="J13" s="5" t="n"/>
      <c r="K13" s="5" t="n"/>
      <c r="L13" s="5" t="n"/>
      <c r="M13" s="13" t="n"/>
      <c r="N13" s="14" t="n"/>
      <c r="O13" s="5" t="n"/>
      <c r="P13" s="12">
        <f>IF($H13="","",IF($K13="Vendida",IF($M13="","",$M13-$H13),TODAY()-$H13))</f>
        <v/>
      </c>
    </row>
    <row r="14">
      <c r="A14" s="5" t="n"/>
      <c r="B14" s="5" t="n"/>
      <c r="C14" s="5" t="n"/>
      <c r="D14" s="5" t="n"/>
      <c r="E14" s="5" t="n"/>
      <c r="F14" s="5" t="n"/>
      <c r="G14" s="5" t="n"/>
      <c r="H14" s="13" t="n"/>
      <c r="I14" s="14" t="n"/>
      <c r="J14" s="5" t="n"/>
      <c r="K14" s="5" t="n"/>
      <c r="L14" s="5" t="n"/>
      <c r="M14" s="13" t="n"/>
      <c r="N14" s="14" t="n"/>
      <c r="O14" s="5" t="n"/>
      <c r="P14" s="12">
        <f>IF($H14="","",IF($K14="Vendida",IF($M14="","",$M14-$H14),TODAY()-$H14))</f>
        <v/>
      </c>
    </row>
    <row r="15">
      <c r="A15" s="5" t="n"/>
      <c r="B15" s="5" t="n"/>
      <c r="C15" s="5" t="n"/>
      <c r="D15" s="5" t="n"/>
      <c r="E15" s="5" t="n"/>
      <c r="F15" s="5" t="n"/>
      <c r="G15" s="5" t="n"/>
      <c r="H15" s="13" t="n"/>
      <c r="I15" s="14" t="n"/>
      <c r="J15" s="5" t="n"/>
      <c r="K15" s="5" t="n"/>
      <c r="L15" s="5" t="n"/>
      <c r="M15" s="13" t="n"/>
      <c r="N15" s="14" t="n"/>
      <c r="O15" s="5" t="n"/>
      <c r="P15" s="12">
        <f>IF($H15="","",IF($K15="Vendida",IF($M15="","",$M15-$H15),TODAY()-$H15))</f>
        <v/>
      </c>
    </row>
    <row r="16">
      <c r="A16" s="5" t="n"/>
      <c r="B16" s="5" t="n"/>
      <c r="C16" s="5" t="n"/>
      <c r="D16" s="5" t="n"/>
      <c r="E16" s="5" t="n"/>
      <c r="F16" s="5" t="n"/>
      <c r="G16" s="5" t="n"/>
      <c r="H16" s="13" t="n"/>
      <c r="I16" s="14" t="n"/>
      <c r="J16" s="5" t="n"/>
      <c r="K16" s="5" t="n"/>
      <c r="L16" s="5" t="n"/>
      <c r="M16" s="13" t="n"/>
      <c r="N16" s="14" t="n"/>
      <c r="O16" s="5" t="n"/>
      <c r="P16" s="12">
        <f>IF($H16="","",IF($K16="Vendida",IF($M16="","",$M16-$H16),TODAY()-$H16))</f>
        <v/>
      </c>
    </row>
    <row r="17">
      <c r="A17" s="5" t="n"/>
      <c r="B17" s="5" t="n"/>
      <c r="C17" s="5" t="n"/>
      <c r="D17" s="5" t="n"/>
      <c r="E17" s="5" t="n"/>
      <c r="F17" s="5" t="n"/>
      <c r="G17" s="5" t="n"/>
      <c r="H17" s="13" t="n"/>
      <c r="I17" s="14" t="n"/>
      <c r="J17" s="5" t="n"/>
      <c r="K17" s="5" t="n"/>
      <c r="L17" s="5" t="n"/>
      <c r="M17" s="13" t="n"/>
      <c r="N17" s="14" t="n"/>
      <c r="O17" s="5" t="n"/>
      <c r="P17" s="12">
        <f>IF($H17="","",IF($K17="Vendida",IF($M17="","",$M17-$H17),TODAY()-$H17))</f>
        <v/>
      </c>
    </row>
    <row r="18">
      <c r="A18" s="5" t="n"/>
      <c r="B18" s="5" t="n"/>
      <c r="C18" s="5" t="n"/>
      <c r="D18" s="5" t="n"/>
      <c r="E18" s="5" t="n"/>
      <c r="F18" s="5" t="n"/>
      <c r="G18" s="5" t="n"/>
      <c r="H18" s="13" t="n"/>
      <c r="I18" s="14" t="n"/>
      <c r="J18" s="5" t="n"/>
      <c r="K18" s="5" t="n"/>
      <c r="L18" s="5" t="n"/>
      <c r="M18" s="13" t="n"/>
      <c r="N18" s="14" t="n"/>
      <c r="O18" s="5" t="n"/>
      <c r="P18" s="12">
        <f>IF($H18="","",IF($K18="Vendida",IF($M18="","",$M18-$H18),TODAY()-$H18))</f>
        <v/>
      </c>
    </row>
    <row r="19">
      <c r="A19" s="5" t="n"/>
      <c r="B19" s="5" t="n"/>
      <c r="C19" s="5" t="n"/>
      <c r="D19" s="5" t="n"/>
      <c r="E19" s="5" t="n"/>
      <c r="F19" s="5" t="n"/>
      <c r="G19" s="5" t="n"/>
      <c r="H19" s="13" t="n"/>
      <c r="I19" s="14" t="n"/>
      <c r="J19" s="5" t="n"/>
      <c r="K19" s="5" t="n"/>
      <c r="L19" s="5" t="n"/>
      <c r="M19" s="13" t="n"/>
      <c r="N19" s="14" t="n"/>
      <c r="O19" s="5" t="n"/>
      <c r="P19" s="12">
        <f>IF($H19="","",IF($K19="Vendida",IF($M19="","",$M19-$H19),TODAY()-$H19))</f>
        <v/>
      </c>
    </row>
    <row r="20">
      <c r="A20" s="5" t="n"/>
      <c r="B20" s="5" t="n"/>
      <c r="C20" s="5" t="n"/>
      <c r="D20" s="5" t="n"/>
      <c r="E20" s="5" t="n"/>
      <c r="F20" s="5" t="n"/>
      <c r="G20" s="5" t="n"/>
      <c r="H20" s="13" t="n"/>
      <c r="I20" s="14" t="n"/>
      <c r="J20" s="5" t="n"/>
      <c r="K20" s="5" t="n"/>
      <c r="L20" s="5" t="n"/>
      <c r="M20" s="13" t="n"/>
      <c r="N20" s="14" t="n"/>
      <c r="O20" s="5" t="n"/>
      <c r="P20" s="12">
        <f>IF($H20="","",IF($K20="Vendida",IF($M20="","",$M20-$H20),TODAY()-$H20))</f>
        <v/>
      </c>
    </row>
    <row r="21">
      <c r="A21" s="5" t="n"/>
      <c r="B21" s="5" t="n"/>
      <c r="C21" s="5" t="n"/>
      <c r="D21" s="5" t="n"/>
      <c r="E21" s="5" t="n"/>
      <c r="F21" s="5" t="n"/>
      <c r="G21" s="5" t="n"/>
      <c r="H21" s="13" t="n"/>
      <c r="I21" s="14" t="n"/>
      <c r="J21" s="5" t="n"/>
      <c r="K21" s="5" t="n"/>
      <c r="L21" s="5" t="n"/>
      <c r="M21" s="13" t="n"/>
      <c r="N21" s="14" t="n"/>
      <c r="O21" s="5" t="n"/>
      <c r="P21" s="12">
        <f>IF($H21="","",IF($K21="Vendida",IF($M21="","",$M21-$H21),TODAY()-$H21))</f>
        <v/>
      </c>
    </row>
    <row r="22">
      <c r="A22" s="5" t="n"/>
      <c r="B22" s="5" t="n"/>
      <c r="C22" s="5" t="n"/>
      <c r="D22" s="5" t="n"/>
      <c r="E22" s="5" t="n"/>
      <c r="F22" s="5" t="n"/>
      <c r="G22" s="5" t="n"/>
      <c r="H22" s="13" t="n"/>
      <c r="I22" s="14" t="n"/>
      <c r="J22" s="5" t="n"/>
      <c r="K22" s="5" t="n"/>
      <c r="L22" s="5" t="n"/>
      <c r="M22" s="13" t="n"/>
      <c r="N22" s="14" t="n"/>
      <c r="O22" s="5" t="n"/>
      <c r="P22" s="12">
        <f>IF($H22="","",IF($K22="Vendida",IF($M22="","",$M22-$H22),TODAY()-$H22))</f>
        <v/>
      </c>
    </row>
    <row r="23">
      <c r="A23" s="5" t="n"/>
      <c r="B23" s="5" t="n"/>
      <c r="C23" s="5" t="n"/>
      <c r="D23" s="5" t="n"/>
      <c r="E23" s="5" t="n"/>
      <c r="F23" s="5" t="n"/>
      <c r="G23" s="5" t="n"/>
      <c r="H23" s="13" t="n"/>
      <c r="I23" s="14" t="n"/>
      <c r="J23" s="5" t="n"/>
      <c r="K23" s="5" t="n"/>
      <c r="L23" s="5" t="n"/>
      <c r="M23" s="13" t="n"/>
      <c r="N23" s="14" t="n"/>
      <c r="O23" s="5" t="n"/>
      <c r="P23" s="12">
        <f>IF($H23="","",IF($K23="Vendida",IF($M23="","",$M23-$H23),TODAY()-$H23))</f>
        <v/>
      </c>
    </row>
    <row r="24">
      <c r="A24" s="5" t="n"/>
      <c r="B24" s="5" t="n"/>
      <c r="C24" s="5" t="n"/>
      <c r="D24" s="5" t="n"/>
      <c r="E24" s="5" t="n"/>
      <c r="F24" s="5" t="n"/>
      <c r="G24" s="5" t="n"/>
      <c r="H24" s="13" t="n"/>
      <c r="I24" s="14" t="n"/>
      <c r="J24" s="5" t="n"/>
      <c r="K24" s="5" t="n"/>
      <c r="L24" s="5" t="n"/>
      <c r="M24" s="13" t="n"/>
      <c r="N24" s="14" t="n"/>
      <c r="O24" s="5" t="n"/>
      <c r="P24" s="12">
        <f>IF($H24="","",IF($K24="Vendida",IF($M24="","",$M24-$H24),TODAY()-$H24))</f>
        <v/>
      </c>
    </row>
    <row r="25">
      <c r="A25" s="5" t="n"/>
      <c r="B25" s="5" t="n"/>
      <c r="C25" s="5" t="n"/>
      <c r="D25" s="5" t="n"/>
      <c r="E25" s="5" t="n"/>
      <c r="F25" s="5" t="n"/>
      <c r="G25" s="5" t="n"/>
      <c r="H25" s="13" t="n"/>
      <c r="I25" s="14" t="n"/>
      <c r="J25" s="5" t="n"/>
      <c r="K25" s="5" t="n"/>
      <c r="L25" s="5" t="n"/>
      <c r="M25" s="13" t="n"/>
      <c r="N25" s="14" t="n"/>
      <c r="O25" s="5" t="n"/>
      <c r="P25" s="12">
        <f>IF($H25="","",IF($K25="Vendida",IF($M25="","",$M25-$H25),TODAY()-$H25))</f>
        <v/>
      </c>
    </row>
    <row r="26">
      <c r="A26" s="5" t="n"/>
      <c r="B26" s="5" t="n"/>
      <c r="C26" s="5" t="n"/>
      <c r="D26" s="5" t="n"/>
      <c r="E26" s="5" t="n"/>
      <c r="F26" s="5" t="n"/>
      <c r="G26" s="5" t="n"/>
      <c r="H26" s="13" t="n"/>
      <c r="I26" s="14" t="n"/>
      <c r="J26" s="5" t="n"/>
      <c r="K26" s="5" t="n"/>
      <c r="L26" s="5" t="n"/>
      <c r="M26" s="13" t="n"/>
      <c r="N26" s="14" t="n"/>
      <c r="O26" s="5" t="n"/>
      <c r="P26" s="12">
        <f>IF($H26="","",IF($K26="Vendida",IF($M26="","",$M26-$H26),TODAY()-$H26))</f>
        <v/>
      </c>
    </row>
    <row r="27">
      <c r="A27" s="5" t="n"/>
      <c r="B27" s="5" t="n"/>
      <c r="C27" s="5" t="n"/>
      <c r="D27" s="5" t="n"/>
      <c r="E27" s="5" t="n"/>
      <c r="F27" s="5" t="n"/>
      <c r="G27" s="5" t="n"/>
      <c r="H27" s="13" t="n"/>
      <c r="I27" s="14" t="n"/>
      <c r="J27" s="5" t="n"/>
      <c r="K27" s="5" t="n"/>
      <c r="L27" s="5" t="n"/>
      <c r="M27" s="13" t="n"/>
      <c r="N27" s="14" t="n"/>
      <c r="O27" s="5" t="n"/>
      <c r="P27" s="12">
        <f>IF($H27="","",IF($K27="Vendida",IF($M27="","",$M27-$H27),TODAY()-$H27))</f>
        <v/>
      </c>
    </row>
    <row r="28">
      <c r="A28" s="5" t="n"/>
      <c r="B28" s="5" t="n"/>
      <c r="C28" s="5" t="n"/>
      <c r="D28" s="5" t="n"/>
      <c r="E28" s="5" t="n"/>
      <c r="F28" s="5" t="n"/>
      <c r="G28" s="5" t="n"/>
      <c r="H28" s="13" t="n"/>
      <c r="I28" s="14" t="n"/>
      <c r="J28" s="5" t="n"/>
      <c r="K28" s="5" t="n"/>
      <c r="L28" s="5" t="n"/>
      <c r="M28" s="13" t="n"/>
      <c r="N28" s="14" t="n"/>
      <c r="O28" s="5" t="n"/>
      <c r="P28" s="12">
        <f>IF($H28="","",IF($K28="Vendida",IF($M28="","",$M28-$H28),TODAY()-$H28))</f>
        <v/>
      </c>
    </row>
    <row r="29">
      <c r="A29" s="5" t="n"/>
      <c r="B29" s="5" t="n"/>
      <c r="C29" s="5" t="n"/>
      <c r="D29" s="5" t="n"/>
      <c r="E29" s="5" t="n"/>
      <c r="F29" s="5" t="n"/>
      <c r="G29" s="5" t="n"/>
      <c r="H29" s="13" t="n"/>
      <c r="I29" s="14" t="n"/>
      <c r="J29" s="5" t="n"/>
      <c r="K29" s="5" t="n"/>
      <c r="L29" s="5" t="n"/>
      <c r="M29" s="13" t="n"/>
      <c r="N29" s="14" t="n"/>
      <c r="O29" s="5" t="n"/>
      <c r="P29" s="12">
        <f>IF($H29="","",IF($K29="Vendida",IF($M29="","",$M29-$H29),TODAY()-$H29))</f>
        <v/>
      </c>
    </row>
    <row r="30">
      <c r="A30" s="5" t="n"/>
      <c r="B30" s="5" t="n"/>
      <c r="C30" s="5" t="n"/>
      <c r="D30" s="5" t="n"/>
      <c r="E30" s="5" t="n"/>
      <c r="F30" s="5" t="n"/>
      <c r="G30" s="5" t="n"/>
      <c r="H30" s="13" t="n"/>
      <c r="I30" s="14" t="n"/>
      <c r="J30" s="5" t="n"/>
      <c r="K30" s="5" t="n"/>
      <c r="L30" s="5" t="n"/>
      <c r="M30" s="13" t="n"/>
      <c r="N30" s="14" t="n"/>
      <c r="O30" s="5" t="n"/>
      <c r="P30" s="12">
        <f>IF($H30="","",IF($K30="Vendida",IF($M30="","",$M30-$H30),TODAY()-$H30))</f>
        <v/>
      </c>
    </row>
    <row r="31">
      <c r="A31" s="5" t="n"/>
      <c r="B31" s="5" t="n"/>
      <c r="C31" s="5" t="n"/>
      <c r="D31" s="5" t="n"/>
      <c r="E31" s="5" t="n"/>
      <c r="F31" s="5" t="n"/>
      <c r="G31" s="5" t="n"/>
      <c r="H31" s="13" t="n"/>
      <c r="I31" s="14" t="n"/>
      <c r="J31" s="5" t="n"/>
      <c r="K31" s="5" t="n"/>
      <c r="L31" s="5" t="n"/>
      <c r="M31" s="13" t="n"/>
      <c r="N31" s="14" t="n"/>
      <c r="O31" s="5" t="n"/>
      <c r="P31" s="12">
        <f>IF($H31="","",IF($K31="Vendida",IF($M31="","",$M31-$H31),TODAY()-$H31))</f>
        <v/>
      </c>
    </row>
    <row r="32">
      <c r="A32" s="5" t="n"/>
      <c r="B32" s="5" t="n"/>
      <c r="C32" s="5" t="n"/>
      <c r="D32" s="5" t="n"/>
      <c r="E32" s="5" t="n"/>
      <c r="F32" s="5" t="n"/>
      <c r="G32" s="5" t="n"/>
      <c r="H32" s="13" t="n"/>
      <c r="I32" s="14" t="n"/>
      <c r="J32" s="5" t="n"/>
      <c r="K32" s="5" t="n"/>
      <c r="L32" s="5" t="n"/>
      <c r="M32" s="13" t="n"/>
      <c r="N32" s="14" t="n"/>
      <c r="O32" s="5" t="n"/>
      <c r="P32" s="12">
        <f>IF($H32="","",IF($K32="Vendida",IF($M32="","",$M32-$H32),TODAY()-$H32))</f>
        <v/>
      </c>
    </row>
    <row r="33">
      <c r="A33" s="5" t="n"/>
      <c r="B33" s="5" t="n"/>
      <c r="C33" s="5" t="n"/>
      <c r="D33" s="5" t="n"/>
      <c r="E33" s="5" t="n"/>
      <c r="F33" s="5" t="n"/>
      <c r="G33" s="5" t="n"/>
      <c r="H33" s="13" t="n"/>
      <c r="I33" s="14" t="n"/>
      <c r="J33" s="5" t="n"/>
      <c r="K33" s="5" t="n"/>
      <c r="L33" s="5" t="n"/>
      <c r="M33" s="13" t="n"/>
      <c r="N33" s="14" t="n"/>
      <c r="O33" s="5" t="n"/>
      <c r="P33" s="12">
        <f>IF($H33="","",IF($K33="Vendida",IF($M33="","",$M33-$H33),TODAY()-$H33))</f>
        <v/>
      </c>
    </row>
    <row r="34">
      <c r="A34" s="5" t="n"/>
      <c r="B34" s="5" t="n"/>
      <c r="C34" s="5" t="n"/>
      <c r="D34" s="5" t="n"/>
      <c r="E34" s="5" t="n"/>
      <c r="F34" s="5" t="n"/>
      <c r="G34" s="5" t="n"/>
      <c r="H34" s="13" t="n"/>
      <c r="I34" s="14" t="n"/>
      <c r="J34" s="5" t="n"/>
      <c r="K34" s="5" t="n"/>
      <c r="L34" s="5" t="n"/>
      <c r="M34" s="13" t="n"/>
      <c r="N34" s="14" t="n"/>
      <c r="O34" s="5" t="n"/>
      <c r="P34" s="12">
        <f>IF($H34="","",IF($K34="Vendida",IF($M34="","",$M34-$H34),TODAY()-$H34))</f>
        <v/>
      </c>
    </row>
    <row r="35">
      <c r="A35" s="5" t="n"/>
      <c r="B35" s="5" t="n"/>
      <c r="C35" s="5" t="n"/>
      <c r="D35" s="5" t="n"/>
      <c r="E35" s="5" t="n"/>
      <c r="F35" s="5" t="n"/>
      <c r="G35" s="5" t="n"/>
      <c r="H35" s="13" t="n"/>
      <c r="I35" s="14" t="n"/>
      <c r="J35" s="5" t="n"/>
      <c r="K35" s="5" t="n"/>
      <c r="L35" s="5" t="n"/>
      <c r="M35" s="13" t="n"/>
      <c r="N35" s="14" t="n"/>
      <c r="O35" s="5" t="n"/>
      <c r="P35" s="12">
        <f>IF($H35="","",IF($K35="Vendida",IF($M35="","",$M35-$H35),TODAY()-$H35))</f>
        <v/>
      </c>
    </row>
    <row r="36">
      <c r="A36" s="5" t="n"/>
      <c r="B36" s="5" t="n"/>
      <c r="C36" s="5" t="n"/>
      <c r="D36" s="5" t="n"/>
      <c r="E36" s="5" t="n"/>
      <c r="F36" s="5" t="n"/>
      <c r="G36" s="5" t="n"/>
      <c r="H36" s="13" t="n"/>
      <c r="I36" s="14" t="n"/>
      <c r="J36" s="5" t="n"/>
      <c r="K36" s="5" t="n"/>
      <c r="L36" s="5" t="n"/>
      <c r="M36" s="13" t="n"/>
      <c r="N36" s="14" t="n"/>
      <c r="O36" s="5" t="n"/>
      <c r="P36" s="12">
        <f>IF($H36="","",IF($K36="Vendida",IF($M36="","",$M36-$H36),TODAY()-$H36))</f>
        <v/>
      </c>
    </row>
    <row r="37">
      <c r="A37" s="5" t="n"/>
      <c r="B37" s="5" t="n"/>
      <c r="C37" s="5" t="n"/>
      <c r="D37" s="5" t="n"/>
      <c r="E37" s="5" t="n"/>
      <c r="F37" s="5" t="n"/>
      <c r="G37" s="5" t="n"/>
      <c r="H37" s="13" t="n"/>
      <c r="I37" s="14" t="n"/>
      <c r="J37" s="5" t="n"/>
      <c r="K37" s="5" t="n"/>
      <c r="L37" s="5" t="n"/>
      <c r="M37" s="13" t="n"/>
      <c r="N37" s="14" t="n"/>
      <c r="O37" s="5" t="n"/>
      <c r="P37" s="12">
        <f>IF($H37="","",IF($K37="Vendida",IF($M37="","",$M37-$H37),TODAY()-$H37))</f>
        <v/>
      </c>
    </row>
    <row r="38">
      <c r="A38" s="5" t="n"/>
      <c r="B38" s="5" t="n"/>
      <c r="C38" s="5" t="n"/>
      <c r="D38" s="5" t="n"/>
      <c r="E38" s="5" t="n"/>
      <c r="F38" s="5" t="n"/>
      <c r="G38" s="5" t="n"/>
      <c r="H38" s="13" t="n"/>
      <c r="I38" s="14" t="n"/>
      <c r="J38" s="5" t="n"/>
      <c r="K38" s="5" t="n"/>
      <c r="L38" s="5" t="n"/>
      <c r="M38" s="13" t="n"/>
      <c r="N38" s="14" t="n"/>
      <c r="O38" s="5" t="n"/>
      <c r="P38" s="12">
        <f>IF($H38="","",IF($K38="Vendida",IF($M38="","",$M38-$H38),TODAY()-$H38))</f>
        <v/>
      </c>
    </row>
    <row r="39">
      <c r="A39" s="5" t="n"/>
      <c r="B39" s="5" t="n"/>
      <c r="C39" s="5" t="n"/>
      <c r="D39" s="5" t="n"/>
      <c r="E39" s="5" t="n"/>
      <c r="F39" s="5" t="n"/>
      <c r="G39" s="5" t="n"/>
      <c r="H39" s="13" t="n"/>
      <c r="I39" s="14" t="n"/>
      <c r="J39" s="5" t="n"/>
      <c r="K39" s="5" t="n"/>
      <c r="L39" s="5" t="n"/>
      <c r="M39" s="13" t="n"/>
      <c r="N39" s="14" t="n"/>
      <c r="O39" s="5" t="n"/>
      <c r="P39" s="12">
        <f>IF($H39="","",IF($K39="Vendida",IF($M39="","",$M39-$H39),TODAY()-$H39))</f>
        <v/>
      </c>
    </row>
    <row r="40">
      <c r="A40" s="5" t="n"/>
      <c r="B40" s="5" t="n"/>
      <c r="C40" s="5" t="n"/>
      <c r="D40" s="5" t="n"/>
      <c r="E40" s="5" t="n"/>
      <c r="F40" s="5" t="n"/>
      <c r="G40" s="5" t="n"/>
      <c r="H40" s="13" t="n"/>
      <c r="I40" s="14" t="n"/>
      <c r="J40" s="5" t="n"/>
      <c r="K40" s="5" t="n"/>
      <c r="L40" s="5" t="n"/>
      <c r="M40" s="13" t="n"/>
      <c r="N40" s="14" t="n"/>
      <c r="O40" s="5" t="n"/>
      <c r="P40" s="12">
        <f>IF($H40="","",IF($K40="Vendida",IF($M40="","",$M40-$H40),TODAY()-$H40))</f>
        <v/>
      </c>
    </row>
    <row r="41">
      <c r="A41" s="5" t="n"/>
      <c r="B41" s="5" t="n"/>
      <c r="C41" s="5" t="n"/>
      <c r="D41" s="5" t="n"/>
      <c r="E41" s="5" t="n"/>
      <c r="F41" s="5" t="n"/>
      <c r="G41" s="5" t="n"/>
      <c r="H41" s="13" t="n"/>
      <c r="I41" s="14" t="n"/>
      <c r="J41" s="5" t="n"/>
      <c r="K41" s="5" t="n"/>
      <c r="L41" s="5" t="n"/>
      <c r="M41" s="13" t="n"/>
      <c r="N41" s="14" t="n"/>
      <c r="O41" s="5" t="n"/>
      <c r="P41" s="12">
        <f>IF($H41="","",IF($K41="Vendida",IF($M41="","",$M41-$H41),TODAY()-$H41))</f>
        <v/>
      </c>
    </row>
    <row r="42">
      <c r="A42" s="5" t="n"/>
      <c r="B42" s="5" t="n"/>
      <c r="C42" s="5" t="n"/>
      <c r="D42" s="5" t="n"/>
      <c r="E42" s="5" t="n"/>
      <c r="F42" s="5" t="n"/>
      <c r="G42" s="5" t="n"/>
      <c r="H42" s="13" t="n"/>
      <c r="I42" s="14" t="n"/>
      <c r="J42" s="5" t="n"/>
      <c r="K42" s="5" t="n"/>
      <c r="L42" s="5" t="n"/>
      <c r="M42" s="13" t="n"/>
      <c r="N42" s="14" t="n"/>
      <c r="O42" s="5" t="n"/>
      <c r="P42" s="12">
        <f>IF($H42="","",IF($K42="Vendida",IF($M42="","",$M42-$H42),TODAY()-$H42))</f>
        <v/>
      </c>
    </row>
    <row r="43">
      <c r="A43" s="5" t="n"/>
      <c r="B43" s="5" t="n"/>
      <c r="C43" s="5" t="n"/>
      <c r="D43" s="5" t="n"/>
      <c r="E43" s="5" t="n"/>
      <c r="F43" s="5" t="n"/>
      <c r="G43" s="5" t="n"/>
      <c r="H43" s="13" t="n"/>
      <c r="I43" s="14" t="n"/>
      <c r="J43" s="5" t="n"/>
      <c r="K43" s="5" t="n"/>
      <c r="L43" s="5" t="n"/>
      <c r="M43" s="13" t="n"/>
      <c r="N43" s="14" t="n"/>
      <c r="O43" s="5" t="n"/>
      <c r="P43" s="12">
        <f>IF($H43="","",IF($K43="Vendida",IF($M43="","",$M43-$H43),TODAY()-$H43))</f>
        <v/>
      </c>
    </row>
    <row r="44">
      <c r="A44" s="5" t="n"/>
      <c r="B44" s="5" t="n"/>
      <c r="C44" s="5" t="n"/>
      <c r="D44" s="5" t="n"/>
      <c r="E44" s="5" t="n"/>
      <c r="F44" s="5" t="n"/>
      <c r="G44" s="5" t="n"/>
      <c r="H44" s="13" t="n"/>
      <c r="I44" s="14" t="n"/>
      <c r="J44" s="5" t="n"/>
      <c r="K44" s="5" t="n"/>
      <c r="L44" s="5" t="n"/>
      <c r="M44" s="13" t="n"/>
      <c r="N44" s="14" t="n"/>
      <c r="O44" s="5" t="n"/>
      <c r="P44" s="12">
        <f>IF($H44="","",IF($K44="Vendida",IF($M44="","",$M44-$H44),TODAY()-$H44))</f>
        <v/>
      </c>
    </row>
    <row r="45">
      <c r="A45" s="5" t="n"/>
      <c r="B45" s="5" t="n"/>
      <c r="C45" s="5" t="n"/>
      <c r="D45" s="5" t="n"/>
      <c r="E45" s="5" t="n"/>
      <c r="F45" s="5" t="n"/>
      <c r="G45" s="5" t="n"/>
      <c r="H45" s="13" t="n"/>
      <c r="I45" s="14" t="n"/>
      <c r="J45" s="5" t="n"/>
      <c r="K45" s="5" t="n"/>
      <c r="L45" s="5" t="n"/>
      <c r="M45" s="13" t="n"/>
      <c r="N45" s="14" t="n"/>
      <c r="O45" s="5" t="n"/>
      <c r="P45" s="12">
        <f>IF($H45="","",IF($K45="Vendida",IF($M45="","",$M45-$H45),TODAY()-$H45))</f>
        <v/>
      </c>
    </row>
    <row r="46">
      <c r="A46" s="5" t="n"/>
      <c r="B46" s="5" t="n"/>
      <c r="C46" s="5" t="n"/>
      <c r="D46" s="5" t="n"/>
      <c r="E46" s="5" t="n"/>
      <c r="F46" s="5" t="n"/>
      <c r="G46" s="5" t="n"/>
      <c r="H46" s="13" t="n"/>
      <c r="I46" s="14" t="n"/>
      <c r="J46" s="5" t="n"/>
      <c r="K46" s="5" t="n"/>
      <c r="L46" s="5" t="n"/>
      <c r="M46" s="13" t="n"/>
      <c r="N46" s="14" t="n"/>
      <c r="O46" s="5" t="n"/>
      <c r="P46" s="12">
        <f>IF($H46="","",IF($K46="Vendida",IF($M46="","",$M46-$H46),TODAY()-$H46))</f>
        <v/>
      </c>
    </row>
    <row r="47">
      <c r="A47" s="5" t="n"/>
      <c r="B47" s="5" t="n"/>
      <c r="C47" s="5" t="n"/>
      <c r="D47" s="5" t="n"/>
      <c r="E47" s="5" t="n"/>
      <c r="F47" s="5" t="n"/>
      <c r="G47" s="5" t="n"/>
      <c r="H47" s="13" t="n"/>
      <c r="I47" s="14" t="n"/>
      <c r="J47" s="5" t="n"/>
      <c r="K47" s="5" t="n"/>
      <c r="L47" s="5" t="n"/>
      <c r="M47" s="13" t="n"/>
      <c r="N47" s="14" t="n"/>
      <c r="O47" s="5" t="n"/>
      <c r="P47" s="12">
        <f>IF($H47="","",IF($K47="Vendida",IF($M47="","",$M47-$H47),TODAY()-$H47))</f>
        <v/>
      </c>
    </row>
    <row r="48">
      <c r="A48" s="5" t="n"/>
      <c r="B48" s="5" t="n"/>
      <c r="C48" s="5" t="n"/>
      <c r="D48" s="5" t="n"/>
      <c r="E48" s="5" t="n"/>
      <c r="F48" s="5" t="n"/>
      <c r="G48" s="5" t="n"/>
      <c r="H48" s="13" t="n"/>
      <c r="I48" s="14" t="n"/>
      <c r="J48" s="5" t="n"/>
      <c r="K48" s="5" t="n"/>
      <c r="L48" s="5" t="n"/>
      <c r="M48" s="13" t="n"/>
      <c r="N48" s="14" t="n"/>
      <c r="O48" s="5" t="n"/>
      <c r="P48" s="12">
        <f>IF($H48="","",IF($K48="Vendida",IF($M48="","",$M48-$H48),TODAY()-$H48))</f>
        <v/>
      </c>
    </row>
    <row r="49">
      <c r="A49" s="5" t="n"/>
      <c r="B49" s="5" t="n"/>
      <c r="C49" s="5" t="n"/>
      <c r="D49" s="5" t="n"/>
      <c r="E49" s="5" t="n"/>
      <c r="F49" s="5" t="n"/>
      <c r="G49" s="5" t="n"/>
      <c r="H49" s="13" t="n"/>
      <c r="I49" s="14" t="n"/>
      <c r="J49" s="5" t="n"/>
      <c r="K49" s="5" t="n"/>
      <c r="L49" s="5" t="n"/>
      <c r="M49" s="13" t="n"/>
      <c r="N49" s="14" t="n"/>
      <c r="O49" s="5" t="n"/>
      <c r="P49" s="12">
        <f>IF($H49="","",IF($K49="Vendida",IF($M49="","",$M49-$H49),TODAY()-$H49))</f>
        <v/>
      </c>
    </row>
    <row r="50">
      <c r="A50" s="5" t="n"/>
      <c r="B50" s="5" t="n"/>
      <c r="C50" s="5" t="n"/>
      <c r="D50" s="5" t="n"/>
      <c r="E50" s="5" t="n"/>
      <c r="F50" s="5" t="n"/>
      <c r="G50" s="5" t="n"/>
      <c r="H50" s="13" t="n"/>
      <c r="I50" s="14" t="n"/>
      <c r="J50" s="5" t="n"/>
      <c r="K50" s="5" t="n"/>
      <c r="L50" s="5" t="n"/>
      <c r="M50" s="13" t="n"/>
      <c r="N50" s="14" t="n"/>
      <c r="O50" s="5" t="n"/>
      <c r="P50" s="12">
        <f>IF($H50="","",IF($K50="Vendida",IF($M50="","",$M50-$H50),TODAY()-$H50))</f>
        <v/>
      </c>
    </row>
    <row r="51">
      <c r="A51" s="5" t="n"/>
      <c r="B51" s="5" t="n"/>
      <c r="C51" s="5" t="n"/>
      <c r="D51" s="5" t="n"/>
      <c r="E51" s="5" t="n"/>
      <c r="F51" s="5" t="n"/>
      <c r="G51" s="5" t="n"/>
      <c r="H51" s="13" t="n"/>
      <c r="I51" s="14" t="n"/>
      <c r="J51" s="5" t="n"/>
      <c r="K51" s="5" t="n"/>
      <c r="L51" s="5" t="n"/>
      <c r="M51" s="13" t="n"/>
      <c r="N51" s="14" t="n"/>
      <c r="O51" s="5" t="n"/>
      <c r="P51" s="12">
        <f>IF($H51="","",IF($K51="Vendida",IF($M51="","",$M51-$H51),TODAY()-$H51))</f>
        <v/>
      </c>
    </row>
    <row r="52">
      <c r="A52" s="5" t="n"/>
      <c r="B52" s="5" t="n"/>
      <c r="C52" s="5" t="n"/>
      <c r="D52" s="5" t="n"/>
      <c r="E52" s="5" t="n"/>
      <c r="F52" s="5" t="n"/>
      <c r="G52" s="5" t="n"/>
      <c r="H52" s="13" t="n"/>
      <c r="I52" s="14" t="n"/>
      <c r="J52" s="5" t="n"/>
      <c r="K52" s="5" t="n"/>
      <c r="L52" s="5" t="n"/>
      <c r="M52" s="13" t="n"/>
      <c r="N52" s="14" t="n"/>
      <c r="O52" s="5" t="n"/>
      <c r="P52" s="12">
        <f>IF($H52="","",IF($K52="Vendida",IF($M52="","",$M52-$H52),TODAY()-$H52))</f>
        <v/>
      </c>
    </row>
    <row r="53">
      <c r="A53" s="5" t="n"/>
      <c r="B53" s="5" t="n"/>
      <c r="C53" s="5" t="n"/>
      <c r="D53" s="5" t="n"/>
      <c r="E53" s="5" t="n"/>
      <c r="F53" s="5" t="n"/>
      <c r="G53" s="5" t="n"/>
      <c r="H53" s="13" t="n"/>
      <c r="I53" s="14" t="n"/>
      <c r="J53" s="5" t="n"/>
      <c r="K53" s="5" t="n"/>
      <c r="L53" s="5" t="n"/>
      <c r="M53" s="13" t="n"/>
      <c r="N53" s="14" t="n"/>
      <c r="O53" s="5" t="n"/>
      <c r="P53" s="12">
        <f>IF($H53="","",IF($K53="Vendida",IF($M53="","",$M53-$H53),TODAY()-$H53))</f>
        <v/>
      </c>
    </row>
    <row r="54">
      <c r="A54" s="5" t="n"/>
      <c r="B54" s="5" t="n"/>
      <c r="C54" s="5" t="n"/>
      <c r="D54" s="5" t="n"/>
      <c r="E54" s="5" t="n"/>
      <c r="F54" s="5" t="n"/>
      <c r="G54" s="5" t="n"/>
      <c r="H54" s="13" t="n"/>
      <c r="I54" s="14" t="n"/>
      <c r="J54" s="5" t="n"/>
      <c r="K54" s="5" t="n"/>
      <c r="L54" s="5" t="n"/>
      <c r="M54" s="13" t="n"/>
      <c r="N54" s="14" t="n"/>
      <c r="O54" s="5" t="n"/>
      <c r="P54" s="12">
        <f>IF($H54="","",IF($K54="Vendida",IF($M54="","",$M54-$H54),TODAY()-$H54))</f>
        <v/>
      </c>
    </row>
    <row r="55">
      <c r="A55" s="5" t="n"/>
      <c r="B55" s="5" t="n"/>
      <c r="C55" s="5" t="n"/>
      <c r="D55" s="5" t="n"/>
      <c r="E55" s="5" t="n"/>
      <c r="F55" s="5" t="n"/>
      <c r="G55" s="5" t="n"/>
      <c r="H55" s="13" t="n"/>
      <c r="I55" s="14" t="n"/>
      <c r="J55" s="5" t="n"/>
      <c r="K55" s="5" t="n"/>
      <c r="L55" s="5" t="n"/>
      <c r="M55" s="13" t="n"/>
      <c r="N55" s="14" t="n"/>
      <c r="O55" s="5" t="n"/>
      <c r="P55" s="12">
        <f>IF($H55="","",IF($K55="Vendida",IF($M55="","",$M55-$H55),TODAY()-$H55))</f>
        <v/>
      </c>
    </row>
    <row r="56">
      <c r="A56" s="5" t="n"/>
      <c r="B56" s="5" t="n"/>
      <c r="C56" s="5" t="n"/>
      <c r="D56" s="5" t="n"/>
      <c r="E56" s="5" t="n"/>
      <c r="F56" s="5" t="n"/>
      <c r="G56" s="5" t="n"/>
      <c r="H56" s="13" t="n"/>
      <c r="I56" s="14" t="n"/>
      <c r="J56" s="5" t="n"/>
      <c r="K56" s="5" t="n"/>
      <c r="L56" s="5" t="n"/>
      <c r="M56" s="13" t="n"/>
      <c r="N56" s="14" t="n"/>
      <c r="O56" s="5" t="n"/>
      <c r="P56" s="12">
        <f>IF($H56="","",IF($K56="Vendida",IF($M56="","",$M56-$H56),TODAY()-$H56))</f>
        <v/>
      </c>
    </row>
    <row r="57">
      <c r="A57" s="5" t="n"/>
      <c r="B57" s="5" t="n"/>
      <c r="C57" s="5" t="n"/>
      <c r="D57" s="5" t="n"/>
      <c r="E57" s="5" t="n"/>
      <c r="F57" s="5" t="n"/>
      <c r="G57" s="5" t="n"/>
      <c r="H57" s="13" t="n"/>
      <c r="I57" s="14" t="n"/>
      <c r="J57" s="5" t="n"/>
      <c r="K57" s="5" t="n"/>
      <c r="L57" s="5" t="n"/>
      <c r="M57" s="13" t="n"/>
      <c r="N57" s="14" t="n"/>
      <c r="O57" s="5" t="n"/>
      <c r="P57" s="12">
        <f>IF($H57="","",IF($K57="Vendida",IF($M57="","",$M57-$H57),TODAY()-$H57))</f>
        <v/>
      </c>
    </row>
    <row r="58">
      <c r="A58" s="5" t="n"/>
      <c r="B58" s="5" t="n"/>
      <c r="C58" s="5" t="n"/>
      <c r="D58" s="5" t="n"/>
      <c r="E58" s="5" t="n"/>
      <c r="F58" s="5" t="n"/>
      <c r="G58" s="5" t="n"/>
      <c r="H58" s="13" t="n"/>
      <c r="I58" s="14" t="n"/>
      <c r="J58" s="5" t="n"/>
      <c r="K58" s="5" t="n"/>
      <c r="L58" s="5" t="n"/>
      <c r="M58" s="13" t="n"/>
      <c r="N58" s="14" t="n"/>
      <c r="O58" s="5" t="n"/>
      <c r="P58" s="12">
        <f>IF($H58="","",IF($K58="Vendida",IF($M58="","",$M58-$H58),TODAY()-$H58))</f>
        <v/>
      </c>
    </row>
    <row r="59">
      <c r="A59" s="5" t="n"/>
      <c r="B59" s="5" t="n"/>
      <c r="C59" s="5" t="n"/>
      <c r="D59" s="5" t="n"/>
      <c r="E59" s="5" t="n"/>
      <c r="F59" s="5" t="n"/>
      <c r="G59" s="5" t="n"/>
      <c r="H59" s="13" t="n"/>
      <c r="I59" s="14" t="n"/>
      <c r="J59" s="5" t="n"/>
      <c r="K59" s="5" t="n"/>
      <c r="L59" s="5" t="n"/>
      <c r="M59" s="13" t="n"/>
      <c r="N59" s="14" t="n"/>
      <c r="O59" s="5" t="n"/>
      <c r="P59" s="12">
        <f>IF($H59="","",IF($K59="Vendida",IF($M59="","",$M59-$H59),TODAY()-$H59))</f>
        <v/>
      </c>
    </row>
    <row r="60">
      <c r="A60" s="5" t="n"/>
      <c r="B60" s="5" t="n"/>
      <c r="C60" s="5" t="n"/>
      <c r="D60" s="5" t="n"/>
      <c r="E60" s="5" t="n"/>
      <c r="F60" s="5" t="n"/>
      <c r="G60" s="5" t="n"/>
      <c r="H60" s="13" t="n"/>
      <c r="I60" s="14" t="n"/>
      <c r="J60" s="5" t="n"/>
      <c r="K60" s="5" t="n"/>
      <c r="L60" s="5" t="n"/>
      <c r="M60" s="13" t="n"/>
      <c r="N60" s="14" t="n"/>
      <c r="O60" s="5" t="n"/>
      <c r="P60" s="12">
        <f>IF($H60="","",IF($K60="Vendida",IF($M60="","",$M60-$H60),TODAY()-$H60))</f>
        <v/>
      </c>
    </row>
    <row r="61">
      <c r="A61" s="5" t="n"/>
      <c r="B61" s="5" t="n"/>
      <c r="C61" s="5" t="n"/>
      <c r="D61" s="5" t="n"/>
      <c r="E61" s="5" t="n"/>
      <c r="F61" s="5" t="n"/>
      <c r="G61" s="5" t="n"/>
      <c r="H61" s="13" t="n"/>
      <c r="I61" s="14" t="n"/>
      <c r="J61" s="5" t="n"/>
      <c r="K61" s="5" t="n"/>
      <c r="L61" s="5" t="n"/>
      <c r="M61" s="13" t="n"/>
      <c r="N61" s="14" t="n"/>
      <c r="O61" s="5" t="n"/>
      <c r="P61" s="12">
        <f>IF($H61="","",IF($K61="Vendida",IF($M61="","",$M61-$H61),TODAY()-$H61))</f>
        <v/>
      </c>
    </row>
    <row r="62">
      <c r="A62" s="5" t="n"/>
      <c r="B62" s="5" t="n"/>
      <c r="C62" s="5" t="n"/>
      <c r="D62" s="5" t="n"/>
      <c r="E62" s="5" t="n"/>
      <c r="F62" s="5" t="n"/>
      <c r="G62" s="5" t="n"/>
      <c r="H62" s="13" t="n"/>
      <c r="I62" s="14" t="n"/>
      <c r="J62" s="5" t="n"/>
      <c r="K62" s="5" t="n"/>
      <c r="L62" s="5" t="n"/>
      <c r="M62" s="13" t="n"/>
      <c r="N62" s="14" t="n"/>
      <c r="O62" s="5" t="n"/>
      <c r="P62" s="12">
        <f>IF($H62="","",IF($K62="Vendida",IF($M62="","",$M62-$H62),TODAY()-$H62))</f>
        <v/>
      </c>
    </row>
    <row r="63">
      <c r="A63" s="5" t="n"/>
      <c r="B63" s="5" t="n"/>
      <c r="C63" s="5" t="n"/>
      <c r="D63" s="5" t="n"/>
      <c r="E63" s="5" t="n"/>
      <c r="F63" s="5" t="n"/>
      <c r="G63" s="5" t="n"/>
      <c r="H63" s="13" t="n"/>
      <c r="I63" s="14" t="n"/>
      <c r="J63" s="5" t="n"/>
      <c r="K63" s="5" t="n"/>
      <c r="L63" s="5" t="n"/>
      <c r="M63" s="13" t="n"/>
      <c r="N63" s="14" t="n"/>
      <c r="O63" s="5" t="n"/>
      <c r="P63" s="12">
        <f>IF($H63="","",IF($K63="Vendida",IF($M63="","",$M63-$H63),TODAY()-$H63))</f>
        <v/>
      </c>
    </row>
    <row r="64">
      <c r="A64" s="5" t="n"/>
      <c r="B64" s="5" t="n"/>
      <c r="C64" s="5" t="n"/>
      <c r="D64" s="5" t="n"/>
      <c r="E64" s="5" t="n"/>
      <c r="F64" s="5" t="n"/>
      <c r="G64" s="5" t="n"/>
      <c r="H64" s="13" t="n"/>
      <c r="I64" s="14" t="n"/>
      <c r="J64" s="5" t="n"/>
      <c r="K64" s="5" t="n"/>
      <c r="L64" s="5" t="n"/>
      <c r="M64" s="13" t="n"/>
      <c r="N64" s="14" t="n"/>
      <c r="O64" s="5" t="n"/>
      <c r="P64" s="12">
        <f>IF($H64="","",IF($K64="Vendida",IF($M64="","",$M64-$H64),TODAY()-$H64))</f>
        <v/>
      </c>
    </row>
    <row r="65">
      <c r="A65" s="5" t="n"/>
      <c r="B65" s="5" t="n"/>
      <c r="C65" s="5" t="n"/>
      <c r="D65" s="5" t="n"/>
      <c r="E65" s="5" t="n"/>
      <c r="F65" s="5" t="n"/>
      <c r="G65" s="5" t="n"/>
      <c r="H65" s="13" t="n"/>
      <c r="I65" s="14" t="n"/>
      <c r="J65" s="5" t="n"/>
      <c r="K65" s="5" t="n"/>
      <c r="L65" s="5" t="n"/>
      <c r="M65" s="13" t="n"/>
      <c r="N65" s="14" t="n"/>
      <c r="O65" s="5" t="n"/>
      <c r="P65" s="12">
        <f>IF($H65="","",IF($K65="Vendida",IF($M65="","",$M65-$H65),TODAY()-$H65))</f>
        <v/>
      </c>
    </row>
    <row r="66">
      <c r="A66" s="5" t="n"/>
      <c r="B66" s="5" t="n"/>
      <c r="C66" s="5" t="n"/>
      <c r="D66" s="5" t="n"/>
      <c r="E66" s="5" t="n"/>
      <c r="F66" s="5" t="n"/>
      <c r="G66" s="5" t="n"/>
      <c r="H66" s="13" t="n"/>
      <c r="I66" s="14" t="n"/>
      <c r="J66" s="5" t="n"/>
      <c r="K66" s="5" t="n"/>
      <c r="L66" s="5" t="n"/>
      <c r="M66" s="13" t="n"/>
      <c r="N66" s="14" t="n"/>
      <c r="O66" s="5" t="n"/>
      <c r="P66" s="12">
        <f>IF($H66="","",IF($K66="Vendida",IF($M66="","",$M66-$H66),TODAY()-$H66))</f>
        <v/>
      </c>
    </row>
    <row r="67">
      <c r="A67" s="5" t="n"/>
      <c r="B67" s="5" t="n"/>
      <c r="C67" s="5" t="n"/>
      <c r="D67" s="5" t="n"/>
      <c r="E67" s="5" t="n"/>
      <c r="F67" s="5" t="n"/>
      <c r="G67" s="5" t="n"/>
      <c r="H67" s="13" t="n"/>
      <c r="I67" s="14" t="n"/>
      <c r="J67" s="5" t="n"/>
      <c r="K67" s="5" t="n"/>
      <c r="L67" s="5" t="n"/>
      <c r="M67" s="13" t="n"/>
      <c r="N67" s="14" t="n"/>
      <c r="O67" s="5" t="n"/>
      <c r="P67" s="12">
        <f>IF($H67="","",IF($K67="Vendida",IF($M67="","",$M67-$H67),TODAY()-$H67))</f>
        <v/>
      </c>
    </row>
    <row r="68">
      <c r="A68" s="5" t="n"/>
      <c r="B68" s="5" t="n"/>
      <c r="C68" s="5" t="n"/>
      <c r="D68" s="5" t="n"/>
      <c r="E68" s="5" t="n"/>
      <c r="F68" s="5" t="n"/>
      <c r="G68" s="5" t="n"/>
      <c r="H68" s="13" t="n"/>
      <c r="I68" s="14" t="n"/>
      <c r="J68" s="5" t="n"/>
      <c r="K68" s="5" t="n"/>
      <c r="L68" s="5" t="n"/>
      <c r="M68" s="13" t="n"/>
      <c r="N68" s="14" t="n"/>
      <c r="O68" s="5" t="n"/>
      <c r="P68" s="12">
        <f>IF($H68="","",IF($K68="Vendida",IF($M68="","",$M68-$H68),TODAY()-$H68))</f>
        <v/>
      </c>
    </row>
    <row r="69">
      <c r="A69" s="5" t="n"/>
      <c r="B69" s="5" t="n"/>
      <c r="C69" s="5" t="n"/>
      <c r="D69" s="5" t="n"/>
      <c r="E69" s="5" t="n"/>
      <c r="F69" s="5" t="n"/>
      <c r="G69" s="5" t="n"/>
      <c r="H69" s="13" t="n"/>
      <c r="I69" s="14" t="n"/>
      <c r="J69" s="5" t="n"/>
      <c r="K69" s="5" t="n"/>
      <c r="L69" s="5" t="n"/>
      <c r="M69" s="13" t="n"/>
      <c r="N69" s="14" t="n"/>
      <c r="O69" s="5" t="n"/>
      <c r="P69" s="12">
        <f>IF($H69="","",IF($K69="Vendida",IF($M69="","",$M69-$H69),TODAY()-$H69))</f>
        <v/>
      </c>
    </row>
    <row r="70">
      <c r="A70" s="5" t="n"/>
      <c r="B70" s="5" t="n"/>
      <c r="C70" s="5" t="n"/>
      <c r="D70" s="5" t="n"/>
      <c r="E70" s="5" t="n"/>
      <c r="F70" s="5" t="n"/>
      <c r="G70" s="5" t="n"/>
      <c r="H70" s="13" t="n"/>
      <c r="I70" s="14" t="n"/>
      <c r="J70" s="5" t="n"/>
      <c r="K70" s="5" t="n"/>
      <c r="L70" s="5" t="n"/>
      <c r="M70" s="13" t="n"/>
      <c r="N70" s="14" t="n"/>
      <c r="O70" s="5" t="n"/>
      <c r="P70" s="12">
        <f>IF($H70="","",IF($K70="Vendida",IF($M70="","",$M70-$H70),TODAY()-$H70))</f>
        <v/>
      </c>
    </row>
    <row r="71">
      <c r="A71" s="5" t="n"/>
      <c r="B71" s="5" t="n"/>
      <c r="C71" s="5" t="n"/>
      <c r="D71" s="5" t="n"/>
      <c r="E71" s="5" t="n"/>
      <c r="F71" s="5" t="n"/>
      <c r="G71" s="5" t="n"/>
      <c r="H71" s="13" t="n"/>
      <c r="I71" s="14" t="n"/>
      <c r="J71" s="5" t="n"/>
      <c r="K71" s="5" t="n"/>
      <c r="L71" s="5" t="n"/>
      <c r="M71" s="13" t="n"/>
      <c r="N71" s="14" t="n"/>
      <c r="O71" s="5" t="n"/>
      <c r="P71" s="12">
        <f>IF($H71="","",IF($K71="Vendida",IF($M71="","",$M71-$H71),TODAY()-$H71))</f>
        <v/>
      </c>
    </row>
    <row r="72">
      <c r="A72" s="5" t="n"/>
      <c r="B72" s="5" t="n"/>
      <c r="C72" s="5" t="n"/>
      <c r="D72" s="5" t="n"/>
      <c r="E72" s="5" t="n"/>
      <c r="F72" s="5" t="n"/>
      <c r="G72" s="5" t="n"/>
      <c r="H72" s="13" t="n"/>
      <c r="I72" s="14" t="n"/>
      <c r="J72" s="5" t="n"/>
      <c r="K72" s="5" t="n"/>
      <c r="L72" s="5" t="n"/>
      <c r="M72" s="13" t="n"/>
      <c r="N72" s="14" t="n"/>
      <c r="O72" s="5" t="n"/>
      <c r="P72" s="12">
        <f>IF($H72="","",IF($K72="Vendida",IF($M72="","",$M72-$H72),TODAY()-$H72))</f>
        <v/>
      </c>
    </row>
    <row r="73">
      <c r="A73" s="5" t="n"/>
      <c r="B73" s="5" t="n"/>
      <c r="C73" s="5" t="n"/>
      <c r="D73" s="5" t="n"/>
      <c r="E73" s="5" t="n"/>
      <c r="F73" s="5" t="n"/>
      <c r="G73" s="5" t="n"/>
      <c r="H73" s="13" t="n"/>
      <c r="I73" s="14" t="n"/>
      <c r="J73" s="5" t="n"/>
      <c r="K73" s="5" t="n"/>
      <c r="L73" s="5" t="n"/>
      <c r="M73" s="13" t="n"/>
      <c r="N73" s="14" t="n"/>
      <c r="O73" s="5" t="n"/>
      <c r="P73" s="12">
        <f>IF($H73="","",IF($K73="Vendida",IF($M73="","",$M73-$H73),TODAY()-$H73))</f>
        <v/>
      </c>
    </row>
    <row r="74">
      <c r="A74" s="5" t="n"/>
      <c r="B74" s="5" t="n"/>
      <c r="C74" s="5" t="n"/>
      <c r="D74" s="5" t="n"/>
      <c r="E74" s="5" t="n"/>
      <c r="F74" s="5" t="n"/>
      <c r="G74" s="5" t="n"/>
      <c r="H74" s="13" t="n"/>
      <c r="I74" s="14" t="n"/>
      <c r="J74" s="5" t="n"/>
      <c r="K74" s="5" t="n"/>
      <c r="L74" s="5" t="n"/>
      <c r="M74" s="13" t="n"/>
      <c r="N74" s="14" t="n"/>
      <c r="O74" s="5" t="n"/>
      <c r="P74" s="12">
        <f>IF($H74="","",IF($K74="Vendida",IF($M74="","",$M74-$H74),TODAY()-$H74))</f>
        <v/>
      </c>
    </row>
    <row r="75">
      <c r="A75" s="5" t="n"/>
      <c r="B75" s="5" t="n"/>
      <c r="C75" s="5" t="n"/>
      <c r="D75" s="5" t="n"/>
      <c r="E75" s="5" t="n"/>
      <c r="F75" s="5" t="n"/>
      <c r="G75" s="5" t="n"/>
      <c r="H75" s="13" t="n"/>
      <c r="I75" s="14" t="n"/>
      <c r="J75" s="5" t="n"/>
      <c r="K75" s="5" t="n"/>
      <c r="L75" s="5" t="n"/>
      <c r="M75" s="13" t="n"/>
      <c r="N75" s="14" t="n"/>
      <c r="O75" s="5" t="n"/>
      <c r="P75" s="12">
        <f>IF($H75="","",IF($K75="Vendida",IF($M75="","",$M75-$H75),TODAY()-$H75))</f>
        <v/>
      </c>
    </row>
    <row r="76">
      <c r="A76" s="5" t="n"/>
      <c r="B76" s="5" t="n"/>
      <c r="C76" s="5" t="n"/>
      <c r="D76" s="5" t="n"/>
      <c r="E76" s="5" t="n"/>
      <c r="F76" s="5" t="n"/>
      <c r="G76" s="5" t="n"/>
      <c r="H76" s="13" t="n"/>
      <c r="I76" s="14" t="n"/>
      <c r="J76" s="5" t="n"/>
      <c r="K76" s="5" t="n"/>
      <c r="L76" s="5" t="n"/>
      <c r="M76" s="13" t="n"/>
      <c r="N76" s="14" t="n"/>
      <c r="O76" s="5" t="n"/>
      <c r="P76" s="12">
        <f>IF($H76="","",IF($K76="Vendida",IF($M76="","",$M76-$H76),TODAY()-$H76))</f>
        <v/>
      </c>
    </row>
    <row r="77">
      <c r="A77" s="5" t="n"/>
      <c r="B77" s="5" t="n"/>
      <c r="C77" s="5" t="n"/>
      <c r="D77" s="5" t="n"/>
      <c r="E77" s="5" t="n"/>
      <c r="F77" s="5" t="n"/>
      <c r="G77" s="5" t="n"/>
      <c r="H77" s="13" t="n"/>
      <c r="I77" s="14" t="n"/>
      <c r="J77" s="5" t="n"/>
      <c r="K77" s="5" t="n"/>
      <c r="L77" s="5" t="n"/>
      <c r="M77" s="13" t="n"/>
      <c r="N77" s="14" t="n"/>
      <c r="O77" s="5" t="n"/>
      <c r="P77" s="12">
        <f>IF($H77="","",IF($K77="Vendida",IF($M77="","",$M77-$H77),TODAY()-$H77))</f>
        <v/>
      </c>
    </row>
    <row r="78">
      <c r="A78" s="5" t="n"/>
      <c r="B78" s="5" t="n"/>
      <c r="C78" s="5" t="n"/>
      <c r="D78" s="5" t="n"/>
      <c r="E78" s="5" t="n"/>
      <c r="F78" s="5" t="n"/>
      <c r="G78" s="5" t="n"/>
      <c r="H78" s="13" t="n"/>
      <c r="I78" s="14" t="n"/>
      <c r="J78" s="5" t="n"/>
      <c r="K78" s="5" t="n"/>
      <c r="L78" s="5" t="n"/>
      <c r="M78" s="13" t="n"/>
      <c r="N78" s="14" t="n"/>
      <c r="O78" s="5" t="n"/>
      <c r="P78" s="12">
        <f>IF($H78="","",IF($K78="Vendida",IF($M78="","",$M78-$H78),TODAY()-$H78))</f>
        <v/>
      </c>
    </row>
    <row r="79">
      <c r="A79" s="5" t="n"/>
      <c r="B79" s="5" t="n"/>
      <c r="C79" s="5" t="n"/>
      <c r="D79" s="5" t="n"/>
      <c r="E79" s="5" t="n"/>
      <c r="F79" s="5" t="n"/>
      <c r="G79" s="5" t="n"/>
      <c r="H79" s="13" t="n"/>
      <c r="I79" s="14" t="n"/>
      <c r="J79" s="5" t="n"/>
      <c r="K79" s="5" t="n"/>
      <c r="L79" s="5" t="n"/>
      <c r="M79" s="13" t="n"/>
      <c r="N79" s="14" t="n"/>
      <c r="O79" s="5" t="n"/>
      <c r="P79" s="12">
        <f>IF($H79="","",IF($K79="Vendida",IF($M79="","",$M79-$H79),TODAY()-$H79))</f>
        <v/>
      </c>
    </row>
    <row r="80">
      <c r="A80" s="5" t="n"/>
      <c r="B80" s="5" t="n"/>
      <c r="C80" s="5" t="n"/>
      <c r="D80" s="5" t="n"/>
      <c r="E80" s="5" t="n"/>
      <c r="F80" s="5" t="n"/>
      <c r="G80" s="5" t="n"/>
      <c r="H80" s="13" t="n"/>
      <c r="I80" s="14" t="n"/>
      <c r="J80" s="5" t="n"/>
      <c r="K80" s="5" t="n"/>
      <c r="L80" s="5" t="n"/>
      <c r="M80" s="13" t="n"/>
      <c r="N80" s="14" t="n"/>
      <c r="O80" s="5" t="n"/>
      <c r="P80" s="12">
        <f>IF($H80="","",IF($K80="Vendida",IF($M80="","",$M80-$H80),TODAY()-$H80))</f>
        <v/>
      </c>
    </row>
    <row r="81">
      <c r="A81" s="5" t="n"/>
      <c r="B81" s="5" t="n"/>
      <c r="C81" s="5" t="n"/>
      <c r="D81" s="5" t="n"/>
      <c r="E81" s="5" t="n"/>
      <c r="F81" s="5" t="n"/>
      <c r="G81" s="5" t="n"/>
      <c r="H81" s="13" t="n"/>
      <c r="I81" s="14" t="n"/>
      <c r="J81" s="5" t="n"/>
      <c r="K81" s="5" t="n"/>
      <c r="L81" s="5" t="n"/>
      <c r="M81" s="13" t="n"/>
      <c r="N81" s="14" t="n"/>
      <c r="O81" s="5" t="n"/>
      <c r="P81" s="12">
        <f>IF($H81="","",IF($K81="Vendida",IF($M81="","",$M81-$H81),TODAY()-$H81))</f>
        <v/>
      </c>
    </row>
    <row r="82">
      <c r="A82" s="5" t="n"/>
      <c r="B82" s="5" t="n"/>
      <c r="C82" s="5" t="n"/>
      <c r="D82" s="5" t="n"/>
      <c r="E82" s="5" t="n"/>
      <c r="F82" s="5" t="n"/>
      <c r="G82" s="5" t="n"/>
      <c r="H82" s="13" t="n"/>
      <c r="I82" s="14" t="n"/>
      <c r="J82" s="5" t="n"/>
      <c r="K82" s="5" t="n"/>
      <c r="L82" s="5" t="n"/>
      <c r="M82" s="13" t="n"/>
      <c r="N82" s="14" t="n"/>
      <c r="O82" s="5" t="n"/>
      <c r="P82" s="12">
        <f>IF($H82="","",IF($K82="Vendida",IF($M82="","",$M82-$H82),TODAY()-$H82))</f>
        <v/>
      </c>
    </row>
    <row r="83">
      <c r="A83" s="5" t="n"/>
      <c r="B83" s="5" t="n"/>
      <c r="C83" s="5" t="n"/>
      <c r="D83" s="5" t="n"/>
      <c r="E83" s="5" t="n"/>
      <c r="F83" s="5" t="n"/>
      <c r="G83" s="5" t="n"/>
      <c r="H83" s="13" t="n"/>
      <c r="I83" s="14" t="n"/>
      <c r="J83" s="5" t="n"/>
      <c r="K83" s="5" t="n"/>
      <c r="L83" s="5" t="n"/>
      <c r="M83" s="13" t="n"/>
      <c r="N83" s="14" t="n"/>
      <c r="O83" s="5" t="n"/>
      <c r="P83" s="12">
        <f>IF($H83="","",IF($K83="Vendida",IF($M83="","",$M83-$H83),TODAY()-$H83))</f>
        <v/>
      </c>
    </row>
    <row r="84">
      <c r="A84" s="5" t="n"/>
      <c r="B84" s="5" t="n"/>
      <c r="C84" s="5" t="n"/>
      <c r="D84" s="5" t="n"/>
      <c r="E84" s="5" t="n"/>
      <c r="F84" s="5" t="n"/>
      <c r="G84" s="5" t="n"/>
      <c r="H84" s="13" t="n"/>
      <c r="I84" s="14" t="n"/>
      <c r="J84" s="5" t="n"/>
      <c r="K84" s="5" t="n"/>
      <c r="L84" s="5" t="n"/>
      <c r="M84" s="13" t="n"/>
      <c r="N84" s="14" t="n"/>
      <c r="O84" s="5" t="n"/>
      <c r="P84" s="12">
        <f>IF($H84="","",IF($K84="Vendida",IF($M84="","",$M84-$H84),TODAY()-$H84))</f>
        <v/>
      </c>
    </row>
    <row r="85">
      <c r="A85" s="5" t="n"/>
      <c r="B85" s="5" t="n"/>
      <c r="C85" s="5" t="n"/>
      <c r="D85" s="5" t="n"/>
      <c r="E85" s="5" t="n"/>
      <c r="F85" s="5" t="n"/>
      <c r="G85" s="5" t="n"/>
      <c r="H85" s="13" t="n"/>
      <c r="I85" s="14" t="n"/>
      <c r="J85" s="5" t="n"/>
      <c r="K85" s="5" t="n"/>
      <c r="L85" s="5" t="n"/>
      <c r="M85" s="13" t="n"/>
      <c r="N85" s="14" t="n"/>
      <c r="O85" s="5" t="n"/>
      <c r="P85" s="12">
        <f>IF($H85="","",IF($K85="Vendida",IF($M85="","",$M85-$H85),TODAY()-$H85))</f>
        <v/>
      </c>
    </row>
    <row r="86">
      <c r="A86" s="5" t="n"/>
      <c r="B86" s="5" t="n"/>
      <c r="C86" s="5" t="n"/>
      <c r="D86" s="5" t="n"/>
      <c r="E86" s="5" t="n"/>
      <c r="F86" s="5" t="n"/>
      <c r="G86" s="5" t="n"/>
      <c r="H86" s="13" t="n"/>
      <c r="I86" s="14" t="n"/>
      <c r="J86" s="5" t="n"/>
      <c r="K86" s="5" t="n"/>
      <c r="L86" s="5" t="n"/>
      <c r="M86" s="13" t="n"/>
      <c r="N86" s="14" t="n"/>
      <c r="O86" s="5" t="n"/>
      <c r="P86" s="12">
        <f>IF($H86="","",IF($K86="Vendida",IF($M86="","",$M86-$H86),TODAY()-$H86))</f>
        <v/>
      </c>
    </row>
    <row r="87">
      <c r="A87" s="5" t="n"/>
      <c r="B87" s="5" t="n"/>
      <c r="C87" s="5" t="n"/>
      <c r="D87" s="5" t="n"/>
      <c r="E87" s="5" t="n"/>
      <c r="F87" s="5" t="n"/>
      <c r="G87" s="5" t="n"/>
      <c r="H87" s="13" t="n"/>
      <c r="I87" s="14" t="n"/>
      <c r="J87" s="5" t="n"/>
      <c r="K87" s="5" t="n"/>
      <c r="L87" s="5" t="n"/>
      <c r="M87" s="13" t="n"/>
      <c r="N87" s="14" t="n"/>
      <c r="O87" s="5" t="n"/>
      <c r="P87" s="12">
        <f>IF($H87="","",IF($K87="Vendida",IF($M87="","",$M87-$H87),TODAY()-$H87))</f>
        <v/>
      </c>
    </row>
    <row r="88">
      <c r="A88" s="5" t="n"/>
      <c r="B88" s="5" t="n"/>
      <c r="C88" s="5" t="n"/>
      <c r="D88" s="5" t="n"/>
      <c r="E88" s="5" t="n"/>
      <c r="F88" s="5" t="n"/>
      <c r="G88" s="5" t="n"/>
      <c r="H88" s="13" t="n"/>
      <c r="I88" s="14" t="n"/>
      <c r="J88" s="5" t="n"/>
      <c r="K88" s="5" t="n"/>
      <c r="L88" s="5" t="n"/>
      <c r="M88" s="13" t="n"/>
      <c r="N88" s="14" t="n"/>
      <c r="O88" s="5" t="n"/>
      <c r="P88" s="12">
        <f>IF($H88="","",IF($K88="Vendida",IF($M88="","",$M88-$H88),TODAY()-$H88))</f>
        <v/>
      </c>
    </row>
    <row r="89">
      <c r="A89" s="5" t="n"/>
      <c r="B89" s="5" t="n"/>
      <c r="C89" s="5" t="n"/>
      <c r="D89" s="5" t="n"/>
      <c r="E89" s="5" t="n"/>
      <c r="F89" s="5" t="n"/>
      <c r="G89" s="5" t="n"/>
      <c r="H89" s="13" t="n"/>
      <c r="I89" s="14" t="n"/>
      <c r="J89" s="5" t="n"/>
      <c r="K89" s="5" t="n"/>
      <c r="L89" s="5" t="n"/>
      <c r="M89" s="13" t="n"/>
      <c r="N89" s="14" t="n"/>
      <c r="O89" s="5" t="n"/>
      <c r="P89" s="12">
        <f>IF($H89="","",IF($K89="Vendida",IF($M89="","",$M89-$H89),TODAY()-$H89))</f>
        <v/>
      </c>
    </row>
    <row r="90">
      <c r="A90" s="5" t="n"/>
      <c r="B90" s="5" t="n"/>
      <c r="C90" s="5" t="n"/>
      <c r="D90" s="5" t="n"/>
      <c r="E90" s="5" t="n"/>
      <c r="F90" s="5" t="n"/>
      <c r="G90" s="5" t="n"/>
      <c r="H90" s="13" t="n"/>
      <c r="I90" s="14" t="n"/>
      <c r="J90" s="5" t="n"/>
      <c r="K90" s="5" t="n"/>
      <c r="L90" s="5" t="n"/>
      <c r="M90" s="13" t="n"/>
      <c r="N90" s="14" t="n"/>
      <c r="O90" s="5" t="n"/>
      <c r="P90" s="12">
        <f>IF($H90="","",IF($K90="Vendida",IF($M90="","",$M90-$H90),TODAY()-$H90))</f>
        <v/>
      </c>
    </row>
    <row r="91">
      <c r="A91" s="5" t="n"/>
      <c r="B91" s="5" t="n"/>
      <c r="C91" s="5" t="n"/>
      <c r="D91" s="5" t="n"/>
      <c r="E91" s="5" t="n"/>
      <c r="F91" s="5" t="n"/>
      <c r="G91" s="5" t="n"/>
      <c r="H91" s="13" t="n"/>
      <c r="I91" s="14" t="n"/>
      <c r="J91" s="5" t="n"/>
      <c r="K91" s="5" t="n"/>
      <c r="L91" s="5" t="n"/>
      <c r="M91" s="13" t="n"/>
      <c r="N91" s="14" t="n"/>
      <c r="O91" s="5" t="n"/>
      <c r="P91" s="12">
        <f>IF($H91="","",IF($K91="Vendida",IF($M91="","",$M91-$H91),TODAY()-$H91))</f>
        <v/>
      </c>
    </row>
    <row r="92">
      <c r="A92" s="5" t="n"/>
      <c r="B92" s="5" t="n"/>
      <c r="C92" s="5" t="n"/>
      <c r="D92" s="5" t="n"/>
      <c r="E92" s="5" t="n"/>
      <c r="F92" s="5" t="n"/>
      <c r="G92" s="5" t="n"/>
      <c r="H92" s="13" t="n"/>
      <c r="I92" s="14" t="n"/>
      <c r="J92" s="5" t="n"/>
      <c r="K92" s="5" t="n"/>
      <c r="L92" s="5" t="n"/>
      <c r="M92" s="13" t="n"/>
      <c r="N92" s="14" t="n"/>
      <c r="O92" s="5" t="n"/>
      <c r="P92" s="12">
        <f>IF($H92="","",IF($K92="Vendida",IF($M92="","",$M92-$H92),TODAY()-$H92))</f>
        <v/>
      </c>
    </row>
    <row r="93">
      <c r="A93" s="5" t="n"/>
      <c r="B93" s="5" t="n"/>
      <c r="C93" s="5" t="n"/>
      <c r="D93" s="5" t="n"/>
      <c r="E93" s="5" t="n"/>
      <c r="F93" s="5" t="n"/>
      <c r="G93" s="5" t="n"/>
      <c r="H93" s="13" t="n"/>
      <c r="I93" s="14" t="n"/>
      <c r="J93" s="5" t="n"/>
      <c r="K93" s="5" t="n"/>
      <c r="L93" s="5" t="n"/>
      <c r="M93" s="13" t="n"/>
      <c r="N93" s="14" t="n"/>
      <c r="O93" s="5" t="n"/>
      <c r="P93" s="12">
        <f>IF($H93="","",IF($K93="Vendida",IF($M93="","",$M93-$H93),TODAY()-$H93))</f>
        <v/>
      </c>
    </row>
    <row r="94">
      <c r="A94" s="5" t="n"/>
      <c r="B94" s="5" t="n"/>
      <c r="C94" s="5" t="n"/>
      <c r="D94" s="5" t="n"/>
      <c r="E94" s="5" t="n"/>
      <c r="F94" s="5" t="n"/>
      <c r="G94" s="5" t="n"/>
      <c r="H94" s="13" t="n"/>
      <c r="I94" s="14" t="n"/>
      <c r="J94" s="5" t="n"/>
      <c r="K94" s="5" t="n"/>
      <c r="L94" s="5" t="n"/>
      <c r="M94" s="13" t="n"/>
      <c r="N94" s="14" t="n"/>
      <c r="O94" s="5" t="n"/>
      <c r="P94" s="12">
        <f>IF($H94="","",IF($K94="Vendida",IF($M94="","",$M94-$H94),TODAY()-$H94))</f>
        <v/>
      </c>
    </row>
    <row r="95">
      <c r="A95" s="5" t="n"/>
      <c r="B95" s="5" t="n"/>
      <c r="C95" s="5" t="n"/>
      <c r="D95" s="5" t="n"/>
      <c r="E95" s="5" t="n"/>
      <c r="F95" s="5" t="n"/>
      <c r="G95" s="5" t="n"/>
      <c r="H95" s="13" t="n"/>
      <c r="I95" s="14" t="n"/>
      <c r="J95" s="5" t="n"/>
      <c r="K95" s="5" t="n"/>
      <c r="L95" s="5" t="n"/>
      <c r="M95" s="13" t="n"/>
      <c r="N95" s="14" t="n"/>
      <c r="O95" s="5" t="n"/>
      <c r="P95" s="12">
        <f>IF($H95="","",IF($K95="Vendida",IF($M95="","",$M95-$H95),TODAY()-$H95))</f>
        <v/>
      </c>
    </row>
    <row r="96">
      <c r="A96" s="5" t="n"/>
      <c r="B96" s="5" t="n"/>
      <c r="C96" s="5" t="n"/>
      <c r="D96" s="5" t="n"/>
      <c r="E96" s="5" t="n"/>
      <c r="F96" s="5" t="n"/>
      <c r="G96" s="5" t="n"/>
      <c r="H96" s="13" t="n"/>
      <c r="I96" s="14" t="n"/>
      <c r="J96" s="5" t="n"/>
      <c r="K96" s="5" t="n"/>
      <c r="L96" s="5" t="n"/>
      <c r="M96" s="13" t="n"/>
      <c r="N96" s="14" t="n"/>
      <c r="O96" s="5" t="n"/>
      <c r="P96" s="12">
        <f>IF($H96="","",IF($K96="Vendida",IF($M96="","",$M96-$H96),TODAY()-$H96))</f>
        <v/>
      </c>
    </row>
    <row r="97">
      <c r="A97" s="5" t="n"/>
      <c r="B97" s="5" t="n"/>
      <c r="C97" s="5" t="n"/>
      <c r="D97" s="5" t="n"/>
      <c r="E97" s="5" t="n"/>
      <c r="F97" s="5" t="n"/>
      <c r="G97" s="5" t="n"/>
      <c r="H97" s="13" t="n"/>
      <c r="I97" s="14" t="n"/>
      <c r="J97" s="5" t="n"/>
      <c r="K97" s="5" t="n"/>
      <c r="L97" s="5" t="n"/>
      <c r="M97" s="13" t="n"/>
      <c r="N97" s="14" t="n"/>
      <c r="O97" s="5" t="n"/>
      <c r="P97" s="12">
        <f>IF($H97="","",IF($K97="Vendida",IF($M97="","",$M97-$H97),TODAY()-$H97))</f>
        <v/>
      </c>
    </row>
    <row r="98">
      <c r="A98" s="5" t="n"/>
      <c r="B98" s="5" t="n"/>
      <c r="C98" s="5" t="n"/>
      <c r="D98" s="5" t="n"/>
      <c r="E98" s="5" t="n"/>
      <c r="F98" s="5" t="n"/>
      <c r="G98" s="5" t="n"/>
      <c r="H98" s="13" t="n"/>
      <c r="I98" s="14" t="n"/>
      <c r="J98" s="5" t="n"/>
      <c r="K98" s="5" t="n"/>
      <c r="L98" s="5" t="n"/>
      <c r="M98" s="13" t="n"/>
      <c r="N98" s="14" t="n"/>
      <c r="O98" s="5" t="n"/>
      <c r="P98" s="12">
        <f>IF($H98="","",IF($K98="Vendida",IF($M98="","",$M98-$H98),TODAY()-$H98))</f>
        <v/>
      </c>
    </row>
    <row r="99">
      <c r="A99" s="5" t="n"/>
      <c r="B99" s="5" t="n"/>
      <c r="C99" s="5" t="n"/>
      <c r="D99" s="5" t="n"/>
      <c r="E99" s="5" t="n"/>
      <c r="F99" s="5" t="n"/>
      <c r="G99" s="5" t="n"/>
      <c r="H99" s="13" t="n"/>
      <c r="I99" s="14" t="n"/>
      <c r="J99" s="5" t="n"/>
      <c r="K99" s="5" t="n"/>
      <c r="L99" s="5" t="n"/>
      <c r="M99" s="13" t="n"/>
      <c r="N99" s="14" t="n"/>
      <c r="O99" s="5" t="n"/>
      <c r="P99" s="12">
        <f>IF($H99="","",IF($K99="Vendida",IF($M99="","",$M99-$H99),TODAY()-$H99))</f>
        <v/>
      </c>
    </row>
    <row r="100">
      <c r="A100" s="5" t="n"/>
      <c r="B100" s="5" t="n"/>
      <c r="C100" s="5" t="n"/>
      <c r="D100" s="5" t="n"/>
      <c r="E100" s="5" t="n"/>
      <c r="F100" s="5" t="n"/>
      <c r="G100" s="5" t="n"/>
      <c r="H100" s="13" t="n"/>
      <c r="I100" s="14" t="n"/>
      <c r="J100" s="5" t="n"/>
      <c r="K100" s="5" t="n"/>
      <c r="L100" s="5" t="n"/>
      <c r="M100" s="13" t="n"/>
      <c r="N100" s="14" t="n"/>
      <c r="O100" s="5" t="n"/>
      <c r="P100" s="12">
        <f>IF($H100="","",IF($K100="Vendida",IF($M100="","",$M100-$H100),TODAY()-$H100))</f>
        <v/>
      </c>
    </row>
    <row r="101">
      <c r="A101" s="5" t="n"/>
      <c r="B101" s="5" t="n"/>
      <c r="C101" s="5" t="n"/>
      <c r="D101" s="5" t="n"/>
      <c r="E101" s="5" t="n"/>
      <c r="F101" s="5" t="n"/>
      <c r="G101" s="5" t="n"/>
      <c r="H101" s="13" t="n"/>
      <c r="I101" s="14" t="n"/>
      <c r="J101" s="5" t="n"/>
      <c r="K101" s="5" t="n"/>
      <c r="L101" s="5" t="n"/>
      <c r="M101" s="13" t="n"/>
      <c r="N101" s="14" t="n"/>
      <c r="O101" s="5" t="n"/>
      <c r="P101" s="12">
        <f>IF($H101="","",IF($K101="Vendida",IF($M101="","",$M101-$H101),TODAY()-$H101))</f>
        <v/>
      </c>
    </row>
    <row r="102">
      <c r="A102" s="5" t="n"/>
      <c r="B102" s="5" t="n"/>
      <c r="C102" s="5" t="n"/>
      <c r="D102" s="5" t="n"/>
      <c r="E102" s="5" t="n"/>
      <c r="F102" s="5" t="n"/>
      <c r="G102" s="5" t="n"/>
      <c r="H102" s="13" t="n"/>
      <c r="I102" s="14" t="n"/>
      <c r="J102" s="5" t="n"/>
      <c r="K102" s="5" t="n"/>
      <c r="L102" s="5" t="n"/>
      <c r="M102" s="13" t="n"/>
      <c r="N102" s="14" t="n"/>
      <c r="O102" s="5" t="n"/>
      <c r="P102" s="12">
        <f>IF($H102="","",IF($K102="Vendida",IF($M102="","",$M102-$H102),TODAY()-$H102))</f>
        <v/>
      </c>
    </row>
    <row r="103">
      <c r="A103" s="5" t="n"/>
      <c r="B103" s="5" t="n"/>
      <c r="C103" s="5" t="n"/>
      <c r="D103" s="5" t="n"/>
      <c r="E103" s="5" t="n"/>
      <c r="F103" s="5" t="n"/>
      <c r="G103" s="5" t="n"/>
      <c r="H103" s="13" t="n"/>
      <c r="I103" s="14" t="n"/>
      <c r="J103" s="5" t="n"/>
      <c r="K103" s="5" t="n"/>
      <c r="L103" s="5" t="n"/>
      <c r="M103" s="13" t="n"/>
      <c r="N103" s="14" t="n"/>
      <c r="O103" s="5" t="n"/>
      <c r="P103" s="12">
        <f>IF($H103="","",IF($K103="Vendida",IF($M103="","",$M103-$H103),TODAY()-$H103))</f>
        <v/>
      </c>
    </row>
    <row r="104">
      <c r="A104" s="5" t="n"/>
      <c r="B104" s="5" t="n"/>
      <c r="C104" s="5" t="n"/>
      <c r="D104" s="5" t="n"/>
      <c r="E104" s="5" t="n"/>
      <c r="F104" s="5" t="n"/>
      <c r="G104" s="5" t="n"/>
      <c r="H104" s="13" t="n"/>
      <c r="I104" s="14" t="n"/>
      <c r="J104" s="5" t="n"/>
      <c r="K104" s="5" t="n"/>
      <c r="L104" s="5" t="n"/>
      <c r="M104" s="13" t="n"/>
      <c r="N104" s="14" t="n"/>
      <c r="O104" s="5" t="n"/>
      <c r="P104" s="12">
        <f>IF($H104="","",IF($K104="Vendida",IF($M104="","",$M104-$H104),TODAY()-$H104))</f>
        <v/>
      </c>
    </row>
    <row r="105">
      <c r="A105" s="5" t="n"/>
      <c r="B105" s="5" t="n"/>
      <c r="C105" s="5" t="n"/>
      <c r="D105" s="5" t="n"/>
      <c r="E105" s="5" t="n"/>
      <c r="F105" s="5" t="n"/>
      <c r="G105" s="5" t="n"/>
      <c r="H105" s="13" t="n"/>
      <c r="I105" s="14" t="n"/>
      <c r="J105" s="5" t="n"/>
      <c r="K105" s="5" t="n"/>
      <c r="L105" s="5" t="n"/>
      <c r="M105" s="13" t="n"/>
      <c r="N105" s="14" t="n"/>
      <c r="O105" s="5" t="n"/>
      <c r="P105" s="12">
        <f>IF($H105="","",IF($K105="Vendida",IF($M105="","",$M105-$H105),TODAY()-$H105))</f>
        <v/>
      </c>
    </row>
    <row r="106">
      <c r="A106" s="5" t="n"/>
      <c r="B106" s="5" t="n"/>
      <c r="C106" s="5" t="n"/>
      <c r="D106" s="5" t="n"/>
      <c r="E106" s="5" t="n"/>
      <c r="F106" s="5" t="n"/>
      <c r="G106" s="5" t="n"/>
      <c r="H106" s="13" t="n"/>
      <c r="I106" s="14" t="n"/>
      <c r="J106" s="5" t="n"/>
      <c r="K106" s="5" t="n"/>
      <c r="L106" s="5" t="n"/>
      <c r="M106" s="13" t="n"/>
      <c r="N106" s="14" t="n"/>
      <c r="O106" s="5" t="n"/>
      <c r="P106" s="12">
        <f>IF($H106="","",IF($K106="Vendida",IF($M106="","",$M106-$H106),TODAY()-$H106))</f>
        <v/>
      </c>
    </row>
    <row r="107">
      <c r="A107" s="5" t="n"/>
      <c r="B107" s="5" t="n"/>
      <c r="C107" s="5" t="n"/>
      <c r="D107" s="5" t="n"/>
      <c r="E107" s="5" t="n"/>
      <c r="F107" s="5" t="n"/>
      <c r="G107" s="5" t="n"/>
      <c r="H107" s="13" t="n"/>
      <c r="I107" s="14" t="n"/>
      <c r="J107" s="5" t="n"/>
      <c r="K107" s="5" t="n"/>
      <c r="L107" s="5" t="n"/>
      <c r="M107" s="13" t="n"/>
      <c r="N107" s="14" t="n"/>
      <c r="O107" s="5" t="n"/>
      <c r="P107" s="12">
        <f>IF($H107="","",IF($K107="Vendida",IF($M107="","",$M107-$H107),TODAY()-$H107))</f>
        <v/>
      </c>
    </row>
    <row r="108">
      <c r="A108" s="5" t="n"/>
      <c r="B108" s="5" t="n"/>
      <c r="C108" s="5" t="n"/>
      <c r="D108" s="5" t="n"/>
      <c r="E108" s="5" t="n"/>
      <c r="F108" s="5" t="n"/>
      <c r="G108" s="5" t="n"/>
      <c r="H108" s="13" t="n"/>
      <c r="I108" s="14" t="n"/>
      <c r="J108" s="5" t="n"/>
      <c r="K108" s="5" t="n"/>
      <c r="L108" s="5" t="n"/>
      <c r="M108" s="13" t="n"/>
      <c r="N108" s="14" t="n"/>
      <c r="O108" s="5" t="n"/>
      <c r="P108" s="12">
        <f>IF($H108="","",IF($K108="Vendida",IF($M108="","",$M108-$H108),TODAY()-$H108))</f>
        <v/>
      </c>
    </row>
    <row r="109">
      <c r="A109" s="5" t="n"/>
      <c r="B109" s="5" t="n"/>
      <c r="C109" s="5" t="n"/>
      <c r="D109" s="5" t="n"/>
      <c r="E109" s="5" t="n"/>
      <c r="F109" s="5" t="n"/>
      <c r="G109" s="5" t="n"/>
      <c r="H109" s="13" t="n"/>
      <c r="I109" s="14" t="n"/>
      <c r="J109" s="5" t="n"/>
      <c r="K109" s="5" t="n"/>
      <c r="L109" s="5" t="n"/>
      <c r="M109" s="13" t="n"/>
      <c r="N109" s="14" t="n"/>
      <c r="O109" s="5" t="n"/>
      <c r="P109" s="12">
        <f>IF($H109="","",IF($K109="Vendida",IF($M109="","",$M109-$H109),TODAY()-$H109))</f>
        <v/>
      </c>
    </row>
    <row r="110">
      <c r="A110" s="5" t="n"/>
      <c r="B110" s="5" t="n"/>
      <c r="C110" s="5" t="n"/>
      <c r="D110" s="5" t="n"/>
      <c r="E110" s="5" t="n"/>
      <c r="F110" s="5" t="n"/>
      <c r="G110" s="5" t="n"/>
      <c r="H110" s="13" t="n"/>
      <c r="I110" s="14" t="n"/>
      <c r="J110" s="5" t="n"/>
      <c r="K110" s="5" t="n"/>
      <c r="L110" s="5" t="n"/>
      <c r="M110" s="13" t="n"/>
      <c r="N110" s="14" t="n"/>
      <c r="O110" s="5" t="n"/>
      <c r="P110" s="12">
        <f>IF($H110="","",IF($K110="Vendida",IF($M110="","",$M110-$H110),TODAY()-$H110))</f>
        <v/>
      </c>
    </row>
    <row r="111">
      <c r="A111" s="5" t="n"/>
      <c r="B111" s="5" t="n"/>
      <c r="C111" s="5" t="n"/>
      <c r="D111" s="5" t="n"/>
      <c r="E111" s="5" t="n"/>
      <c r="F111" s="5" t="n"/>
      <c r="G111" s="5" t="n"/>
      <c r="H111" s="13" t="n"/>
      <c r="I111" s="14" t="n"/>
      <c r="J111" s="5" t="n"/>
      <c r="K111" s="5" t="n"/>
      <c r="L111" s="5" t="n"/>
      <c r="M111" s="13" t="n"/>
      <c r="N111" s="14" t="n"/>
      <c r="O111" s="5" t="n"/>
      <c r="P111" s="12">
        <f>IF($H111="","",IF($K111="Vendida",IF($M111="","",$M111-$H111),TODAY()-$H111))</f>
        <v/>
      </c>
    </row>
    <row r="112">
      <c r="A112" s="5" t="n"/>
      <c r="B112" s="5" t="n"/>
      <c r="C112" s="5" t="n"/>
      <c r="D112" s="5" t="n"/>
      <c r="E112" s="5" t="n"/>
      <c r="F112" s="5" t="n"/>
      <c r="G112" s="5" t="n"/>
      <c r="H112" s="13" t="n"/>
      <c r="I112" s="14" t="n"/>
      <c r="J112" s="5" t="n"/>
      <c r="K112" s="5" t="n"/>
      <c r="L112" s="5" t="n"/>
      <c r="M112" s="13" t="n"/>
      <c r="N112" s="14" t="n"/>
      <c r="O112" s="5" t="n"/>
      <c r="P112" s="12">
        <f>IF($H112="","",IF($K112="Vendida",IF($M112="","",$M112-$H112),TODAY()-$H112))</f>
        <v/>
      </c>
    </row>
    <row r="113">
      <c r="A113" s="5" t="n"/>
      <c r="B113" s="5" t="n"/>
      <c r="C113" s="5" t="n"/>
      <c r="D113" s="5" t="n"/>
      <c r="E113" s="5" t="n"/>
      <c r="F113" s="5" t="n"/>
      <c r="G113" s="5" t="n"/>
      <c r="H113" s="13" t="n"/>
      <c r="I113" s="14" t="n"/>
      <c r="J113" s="5" t="n"/>
      <c r="K113" s="5" t="n"/>
      <c r="L113" s="5" t="n"/>
      <c r="M113" s="13" t="n"/>
      <c r="N113" s="14" t="n"/>
      <c r="O113" s="5" t="n"/>
      <c r="P113" s="12">
        <f>IF($H113="","",IF($K113="Vendida",IF($M113="","",$M113-$H113),TODAY()-$H113))</f>
        <v/>
      </c>
    </row>
    <row r="114">
      <c r="A114" s="5" t="n"/>
      <c r="B114" s="5" t="n"/>
      <c r="C114" s="5" t="n"/>
      <c r="D114" s="5" t="n"/>
      <c r="E114" s="5" t="n"/>
      <c r="F114" s="5" t="n"/>
      <c r="G114" s="5" t="n"/>
      <c r="H114" s="13" t="n"/>
      <c r="I114" s="14" t="n"/>
      <c r="J114" s="5" t="n"/>
      <c r="K114" s="5" t="n"/>
      <c r="L114" s="5" t="n"/>
      <c r="M114" s="13" t="n"/>
      <c r="N114" s="14" t="n"/>
      <c r="O114" s="5" t="n"/>
      <c r="P114" s="12">
        <f>IF($H114="","",IF($K114="Vendida",IF($M114="","",$M114-$H114),TODAY()-$H114))</f>
        <v/>
      </c>
    </row>
    <row r="115">
      <c r="A115" s="5" t="n"/>
      <c r="B115" s="5" t="n"/>
      <c r="C115" s="5" t="n"/>
      <c r="D115" s="5" t="n"/>
      <c r="E115" s="5" t="n"/>
      <c r="F115" s="5" t="n"/>
      <c r="G115" s="5" t="n"/>
      <c r="H115" s="13" t="n"/>
      <c r="I115" s="14" t="n"/>
      <c r="J115" s="5" t="n"/>
      <c r="K115" s="5" t="n"/>
      <c r="L115" s="5" t="n"/>
      <c r="M115" s="13" t="n"/>
      <c r="N115" s="14" t="n"/>
      <c r="O115" s="5" t="n"/>
      <c r="P115" s="12">
        <f>IF($H115="","",IF($K115="Vendida",IF($M115="","",$M115-$H115),TODAY()-$H115))</f>
        <v/>
      </c>
    </row>
    <row r="116">
      <c r="A116" s="5" t="n"/>
      <c r="B116" s="5" t="n"/>
      <c r="C116" s="5" t="n"/>
      <c r="D116" s="5" t="n"/>
      <c r="E116" s="5" t="n"/>
      <c r="F116" s="5" t="n"/>
      <c r="G116" s="5" t="n"/>
      <c r="H116" s="13" t="n"/>
      <c r="I116" s="14" t="n"/>
      <c r="J116" s="5" t="n"/>
      <c r="K116" s="5" t="n"/>
      <c r="L116" s="5" t="n"/>
      <c r="M116" s="13" t="n"/>
      <c r="N116" s="14" t="n"/>
      <c r="O116" s="5" t="n"/>
      <c r="P116" s="12">
        <f>IF($H116="","",IF($K116="Vendida",IF($M116="","",$M116-$H116),TODAY()-$H116))</f>
        <v/>
      </c>
    </row>
    <row r="117">
      <c r="A117" s="5" t="n"/>
      <c r="B117" s="5" t="n"/>
      <c r="C117" s="5" t="n"/>
      <c r="D117" s="5" t="n"/>
      <c r="E117" s="5" t="n"/>
      <c r="F117" s="5" t="n"/>
      <c r="G117" s="5" t="n"/>
      <c r="H117" s="13" t="n"/>
      <c r="I117" s="14" t="n"/>
      <c r="J117" s="5" t="n"/>
      <c r="K117" s="5" t="n"/>
      <c r="L117" s="5" t="n"/>
      <c r="M117" s="13" t="n"/>
      <c r="N117" s="14" t="n"/>
      <c r="O117" s="5" t="n"/>
      <c r="P117" s="12">
        <f>IF($H117="","",IF($K117="Vendida",IF($M117="","",$M117-$H117),TODAY()-$H117))</f>
        <v/>
      </c>
    </row>
    <row r="118">
      <c r="A118" s="5" t="n"/>
      <c r="B118" s="5" t="n"/>
      <c r="C118" s="5" t="n"/>
      <c r="D118" s="5" t="n"/>
      <c r="E118" s="5" t="n"/>
      <c r="F118" s="5" t="n"/>
      <c r="G118" s="5" t="n"/>
      <c r="H118" s="13" t="n"/>
      <c r="I118" s="14" t="n"/>
      <c r="J118" s="5" t="n"/>
      <c r="K118" s="5" t="n"/>
      <c r="L118" s="5" t="n"/>
      <c r="M118" s="13" t="n"/>
      <c r="N118" s="14" t="n"/>
      <c r="O118" s="5" t="n"/>
      <c r="P118" s="12">
        <f>IF($H118="","",IF($K118="Vendida",IF($M118="","",$M118-$H118),TODAY()-$H118))</f>
        <v/>
      </c>
    </row>
    <row r="119">
      <c r="A119" s="5" t="n"/>
      <c r="B119" s="5" t="n"/>
      <c r="C119" s="5" t="n"/>
      <c r="D119" s="5" t="n"/>
      <c r="E119" s="5" t="n"/>
      <c r="F119" s="5" t="n"/>
      <c r="G119" s="5" t="n"/>
      <c r="H119" s="13" t="n"/>
      <c r="I119" s="14" t="n"/>
      <c r="J119" s="5" t="n"/>
      <c r="K119" s="5" t="n"/>
      <c r="L119" s="5" t="n"/>
      <c r="M119" s="13" t="n"/>
      <c r="N119" s="14" t="n"/>
      <c r="O119" s="5" t="n"/>
      <c r="P119" s="12">
        <f>IF($H119="","",IF($K119="Vendida",IF($M119="","",$M119-$H119),TODAY()-$H119))</f>
        <v/>
      </c>
    </row>
    <row r="120">
      <c r="A120" s="5" t="n"/>
      <c r="B120" s="5" t="n"/>
      <c r="C120" s="5" t="n"/>
      <c r="D120" s="5" t="n"/>
      <c r="E120" s="5" t="n"/>
      <c r="F120" s="5" t="n"/>
      <c r="G120" s="5" t="n"/>
      <c r="H120" s="13" t="n"/>
      <c r="I120" s="14" t="n"/>
      <c r="J120" s="5" t="n"/>
      <c r="K120" s="5" t="n"/>
      <c r="L120" s="5" t="n"/>
      <c r="M120" s="13" t="n"/>
      <c r="N120" s="14" t="n"/>
      <c r="O120" s="5" t="n"/>
      <c r="P120" s="12">
        <f>IF($H120="","",IF($K120="Vendida",IF($M120="","",$M120-$H120),TODAY()-$H120))</f>
        <v/>
      </c>
    </row>
    <row r="121">
      <c r="A121" s="5" t="n"/>
      <c r="B121" s="5" t="n"/>
      <c r="C121" s="5" t="n"/>
      <c r="D121" s="5" t="n"/>
      <c r="E121" s="5" t="n"/>
      <c r="F121" s="5" t="n"/>
      <c r="G121" s="5" t="n"/>
      <c r="H121" s="13" t="n"/>
      <c r="I121" s="14" t="n"/>
      <c r="J121" s="5" t="n"/>
      <c r="K121" s="5" t="n"/>
      <c r="L121" s="5" t="n"/>
      <c r="M121" s="13" t="n"/>
      <c r="N121" s="14" t="n"/>
      <c r="O121" s="5" t="n"/>
      <c r="P121" s="12">
        <f>IF($H121="","",IF($K121="Vendida",IF($M121="","",$M121-$H121),TODAY()-$H121))</f>
        <v/>
      </c>
    </row>
    <row r="122">
      <c r="A122" s="5" t="n"/>
      <c r="B122" s="5" t="n"/>
      <c r="C122" s="5" t="n"/>
      <c r="D122" s="5" t="n"/>
      <c r="E122" s="5" t="n"/>
      <c r="F122" s="5" t="n"/>
      <c r="G122" s="5" t="n"/>
      <c r="H122" s="13" t="n"/>
      <c r="I122" s="14" t="n"/>
      <c r="J122" s="5" t="n"/>
      <c r="K122" s="5" t="n"/>
      <c r="L122" s="5" t="n"/>
      <c r="M122" s="13" t="n"/>
      <c r="N122" s="14" t="n"/>
      <c r="O122" s="5" t="n"/>
      <c r="P122" s="12">
        <f>IF($H122="","",IF($K122="Vendida",IF($M122="","",$M122-$H122),TODAY()-$H122))</f>
        <v/>
      </c>
    </row>
    <row r="123">
      <c r="A123" s="5" t="n"/>
      <c r="B123" s="5" t="n"/>
      <c r="C123" s="5" t="n"/>
      <c r="D123" s="5" t="n"/>
      <c r="E123" s="5" t="n"/>
      <c r="F123" s="5" t="n"/>
      <c r="G123" s="5" t="n"/>
      <c r="H123" s="13" t="n"/>
      <c r="I123" s="14" t="n"/>
      <c r="J123" s="5" t="n"/>
      <c r="K123" s="5" t="n"/>
      <c r="L123" s="5" t="n"/>
      <c r="M123" s="13" t="n"/>
      <c r="N123" s="14" t="n"/>
      <c r="O123" s="5" t="n"/>
      <c r="P123" s="12">
        <f>IF($H123="","",IF($K123="Vendida",IF($M123="","",$M123-$H123),TODAY()-$H123))</f>
        <v/>
      </c>
    </row>
  </sheetData>
  <dataValidations count="3">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showDropDown="0" showInputMessage="0" showErrorMessage="0" allowBlank="1" type="list">
      <formula1>"Em Estoque,Reservada,Vendida"</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showDropDown="0" showInputMessage="0" showErrorMessage="0" allowBlank="1" type="list">
      <formula1>"Excelente,Boa,Regular,Requer Atenção"</formula1>
    </dataValidation>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showDropDown="0" showInputMessage="0" showErrorMessage="0" allowBlank="1" type="list">
      <formula1>"Giro Alto,Giro Médio,Giro Baixo"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3"/>
  <sheetViews>
    <sheetView workbookViewId="0">
      <pane ySplit="3" topLeftCell="A4" activePane="bottomLeft" state="frozen"/>
      <selection pane="bottomLeft" activeCell="A1" sqref="A1"/>
    </sheetView>
  </sheetViews>
  <sheetFormatPr baseColWidth="8" defaultRowHeight="15" outlineLevelCol="0"/>
  <cols>
    <col width="12" customWidth="1" min="1" max="1"/>
    <col width="22" customWidth="1" min="2" max="2"/>
    <col width="12" customWidth="1" min="3" max="3"/>
    <col width="12" customWidth="1" min="4" max="4"/>
    <col width="14" customWidth="1" min="5" max="5"/>
    <col width="14" customWidth="1" min="6" max="6"/>
    <col width="12" customWidth="1" min="7" max="7"/>
    <col width="12" customWidth="1" min="8" max="8"/>
    <col width="16" customWidth="1" min="9" max="9"/>
  </cols>
  <sheetData>
    <row r="1">
      <c r="A1" s="1" t="inlineStr">
        <is>
          <t>Custos Diretos de Preparação (por moto)</t>
        </is>
      </c>
    </row>
    <row r="3">
      <c r="A3" s="4" t="inlineStr">
        <is>
          <t>ID Moto</t>
        </is>
      </c>
      <c r="B3" s="4" t="inlineStr">
        <is>
          <t>Modelo (auto)</t>
        </is>
      </c>
      <c r="C3" s="4" t="inlineStr">
        <is>
          <t>Revisão (R$)</t>
        </is>
      </c>
      <c r="D3" s="4" t="inlineStr">
        <is>
          <t>Estética (R$)</t>
        </is>
      </c>
      <c r="E3" s="4" t="inlineStr">
        <is>
          <t>Documentação (R$)</t>
        </is>
      </c>
      <c r="F3" s="4" t="inlineStr">
        <is>
          <t>Frete (R$)</t>
        </is>
      </c>
      <c r="G3" s="4" t="inlineStr">
        <is>
          <t>Combustível (R$)</t>
        </is>
      </c>
      <c r="H3" s="4" t="inlineStr">
        <is>
          <t>Acessórios (R$)</t>
        </is>
      </c>
      <c r="I3" s="4" t="inlineStr">
        <is>
          <t>Outros (R$)</t>
        </is>
      </c>
      <c r="J3" s="4" t="inlineStr">
        <is>
          <t>Total Custos Diretos (R$)</t>
        </is>
      </c>
    </row>
    <row r="4">
      <c r="A4" s="5" t="inlineStr">
        <is>
          <t>MOTO-001</t>
        </is>
      </c>
      <c r="B4" s="5">
        <f>IF($A4="","",IFERROR(INDEX('01-Cadastro-Motos'!$B$4:$B$123,MATCH($A4,'01-Cadastro-Motos'!$A$4:$A$123,0)),""))</f>
        <v/>
      </c>
      <c r="C4" s="9" t="n">
        <v>200</v>
      </c>
      <c r="D4" s="9" t="n">
        <v>150</v>
      </c>
      <c r="E4" s="9" t="n">
        <v>100</v>
      </c>
      <c r="F4" s="9" t="n">
        <v>0</v>
      </c>
      <c r="G4" s="9" t="n">
        <v>0</v>
      </c>
      <c r="H4" s="9" t="n">
        <v>0</v>
      </c>
      <c r="I4" s="9" t="n">
        <v>0</v>
      </c>
      <c r="J4" s="15">
        <f>IF($A4="","",SUM(C4:I4))</f>
        <v/>
      </c>
    </row>
    <row r="5">
      <c r="A5" s="5" t="inlineStr">
        <is>
          <t>MOTO-002</t>
        </is>
      </c>
      <c r="B5" s="5">
        <f>IF($A5="","",IFERROR(INDEX('01-Cadastro-Motos'!$B$4:$B$123,MATCH($A5,'01-Cadastro-Motos'!$A$4:$A$123,0)),""))</f>
        <v/>
      </c>
      <c r="C5" s="9" t="n">
        <v>250</v>
      </c>
      <c r="D5" s="9" t="n">
        <v>100</v>
      </c>
      <c r="E5" s="9" t="n">
        <v>90</v>
      </c>
      <c r="F5" s="9" t="n">
        <v>0</v>
      </c>
      <c r="G5" s="9" t="n">
        <v>0</v>
      </c>
      <c r="H5" s="9" t="n">
        <v>60</v>
      </c>
      <c r="I5" s="9" t="n">
        <v>0</v>
      </c>
      <c r="J5" s="15">
        <f>IF($A5="","",SUM(C5:I5))</f>
        <v/>
      </c>
    </row>
    <row r="6">
      <c r="A6" s="5" t="n"/>
      <c r="B6" s="5">
        <f>IF($A6="","",IFERROR(INDEX('01-Cadastro-Motos'!$B$4:$B$123,MATCH($A6,'01-Cadastro-Motos'!$A$4:$A$123,0)),""))</f>
        <v/>
      </c>
      <c r="C6" s="9" t="n"/>
      <c r="D6" s="9" t="n"/>
      <c r="E6" s="9" t="n"/>
      <c r="F6" s="9" t="n"/>
      <c r="G6" s="9" t="n"/>
      <c r="H6" s="9" t="n"/>
      <c r="I6" s="9" t="n"/>
      <c r="J6" s="15">
        <f>IF($A6="","",SUM(C6:I6))</f>
        <v/>
      </c>
    </row>
    <row r="7">
      <c r="A7" s="5" t="n"/>
      <c r="B7" s="5">
        <f>IF($A7="","",IFERROR(INDEX('01-Cadastro-Motos'!$B$4:$B$123,MATCH($A7,'01-Cadastro-Motos'!$A$4:$A$123,0)),""))</f>
        <v/>
      </c>
      <c r="C7" s="9" t="n"/>
      <c r="D7" s="9" t="n"/>
      <c r="E7" s="9" t="n"/>
      <c r="F7" s="9" t="n"/>
      <c r="G7" s="9" t="n"/>
      <c r="H7" s="9" t="n"/>
      <c r="I7" s="9" t="n"/>
      <c r="J7" s="15">
        <f>IF($A7="","",SUM(C7:I7))</f>
        <v/>
      </c>
    </row>
    <row r="8">
      <c r="A8" s="5" t="n"/>
      <c r="B8" s="5">
        <f>IF($A8="","",IFERROR(INDEX('01-Cadastro-Motos'!$B$4:$B$123,MATCH($A8,'01-Cadastro-Motos'!$A$4:$A$123,0)),""))</f>
        <v/>
      </c>
      <c r="C8" s="9" t="n"/>
      <c r="D8" s="9" t="n"/>
      <c r="E8" s="9" t="n"/>
      <c r="F8" s="9" t="n"/>
      <c r="G8" s="9" t="n"/>
      <c r="H8" s="9" t="n"/>
      <c r="I8" s="9" t="n"/>
      <c r="J8" s="15">
        <f>IF($A8="","",SUM(C8:I8))</f>
        <v/>
      </c>
    </row>
    <row r="9">
      <c r="A9" s="5" t="n"/>
      <c r="B9" s="5">
        <f>IF($A9="","",IFERROR(INDEX('01-Cadastro-Motos'!$B$4:$B$123,MATCH($A9,'01-Cadastro-Motos'!$A$4:$A$123,0)),""))</f>
        <v/>
      </c>
      <c r="C9" s="9" t="n"/>
      <c r="D9" s="9" t="n"/>
      <c r="E9" s="9" t="n"/>
      <c r="F9" s="9" t="n"/>
      <c r="G9" s="9" t="n"/>
      <c r="H9" s="9" t="n"/>
      <c r="I9" s="9" t="n"/>
      <c r="J9" s="15">
        <f>IF($A9="","",SUM(C9:I9))</f>
        <v/>
      </c>
    </row>
    <row r="10">
      <c r="A10" s="5" t="n"/>
      <c r="B10" s="5">
        <f>IF($A10="","",IFERROR(INDEX('01-Cadastro-Motos'!$B$4:$B$123,MATCH($A10,'01-Cadastro-Motos'!$A$4:$A$123,0)),""))</f>
        <v/>
      </c>
      <c r="C10" s="9" t="n"/>
      <c r="D10" s="9" t="n"/>
      <c r="E10" s="9" t="n"/>
      <c r="F10" s="9" t="n"/>
      <c r="G10" s="9" t="n"/>
      <c r="H10" s="9" t="n"/>
      <c r="I10" s="9" t="n"/>
      <c r="J10" s="15">
        <f>IF($A10="","",SUM(C10:I10))</f>
        <v/>
      </c>
    </row>
    <row r="11">
      <c r="A11" s="5" t="n"/>
      <c r="B11" s="5">
        <f>IF($A11="","",IFERROR(INDEX('01-Cadastro-Motos'!$B$4:$B$123,MATCH($A11,'01-Cadastro-Motos'!$A$4:$A$123,0)),""))</f>
        <v/>
      </c>
      <c r="C11" s="9" t="n"/>
      <c r="D11" s="9" t="n"/>
      <c r="E11" s="9" t="n"/>
      <c r="F11" s="9" t="n"/>
      <c r="G11" s="9" t="n"/>
      <c r="H11" s="9" t="n"/>
      <c r="I11" s="9" t="n"/>
      <c r="J11" s="15">
        <f>IF($A11="","",SUM(C11:I11))</f>
        <v/>
      </c>
    </row>
    <row r="12">
      <c r="A12" s="5" t="n"/>
      <c r="B12" s="5">
        <f>IF($A12="","",IFERROR(INDEX('01-Cadastro-Motos'!$B$4:$B$123,MATCH($A12,'01-Cadastro-Motos'!$A$4:$A$123,0)),""))</f>
        <v/>
      </c>
      <c r="C12" s="9" t="n"/>
      <c r="D12" s="9" t="n"/>
      <c r="E12" s="9" t="n"/>
      <c r="F12" s="9" t="n"/>
      <c r="G12" s="9" t="n"/>
      <c r="H12" s="9" t="n"/>
      <c r="I12" s="9" t="n"/>
      <c r="J12" s="15">
        <f>IF($A12="","",SUM(C12:I12))</f>
        <v/>
      </c>
    </row>
    <row r="13">
      <c r="A13" s="5" t="n"/>
      <c r="B13" s="5">
        <f>IF($A13="","",IFERROR(INDEX('01-Cadastro-Motos'!$B$4:$B$123,MATCH($A13,'01-Cadastro-Motos'!$A$4:$A$123,0)),""))</f>
        <v/>
      </c>
      <c r="C13" s="9" t="n"/>
      <c r="D13" s="9" t="n"/>
      <c r="E13" s="9" t="n"/>
      <c r="F13" s="9" t="n"/>
      <c r="G13" s="9" t="n"/>
      <c r="H13" s="9" t="n"/>
      <c r="I13" s="9" t="n"/>
      <c r="J13" s="15">
        <f>IF($A13="","",SUM(C13:I13))</f>
        <v/>
      </c>
    </row>
    <row r="14">
      <c r="A14" s="5" t="n"/>
      <c r="B14" s="5">
        <f>IF($A14="","",IFERROR(INDEX('01-Cadastro-Motos'!$B$4:$B$123,MATCH($A14,'01-Cadastro-Motos'!$A$4:$A$123,0)),""))</f>
        <v/>
      </c>
      <c r="C14" s="9" t="n"/>
      <c r="D14" s="9" t="n"/>
      <c r="E14" s="9" t="n"/>
      <c r="F14" s="9" t="n"/>
      <c r="G14" s="9" t="n"/>
      <c r="H14" s="9" t="n"/>
      <c r="I14" s="9" t="n"/>
      <c r="J14" s="15">
        <f>IF($A14="","",SUM(C14:I14))</f>
        <v/>
      </c>
    </row>
    <row r="15">
      <c r="A15" s="5" t="n"/>
      <c r="B15" s="5">
        <f>IF($A15="","",IFERROR(INDEX('01-Cadastro-Motos'!$B$4:$B$123,MATCH($A15,'01-Cadastro-Motos'!$A$4:$A$123,0)),""))</f>
        <v/>
      </c>
      <c r="C15" s="9" t="n"/>
      <c r="D15" s="9" t="n"/>
      <c r="E15" s="9" t="n"/>
      <c r="F15" s="9" t="n"/>
      <c r="G15" s="9" t="n"/>
      <c r="H15" s="9" t="n"/>
      <c r="I15" s="9" t="n"/>
      <c r="J15" s="15">
        <f>IF($A15="","",SUM(C15:I15))</f>
        <v/>
      </c>
    </row>
    <row r="16">
      <c r="A16" s="5" t="n"/>
      <c r="B16" s="5">
        <f>IF($A16="","",IFERROR(INDEX('01-Cadastro-Motos'!$B$4:$B$123,MATCH($A16,'01-Cadastro-Motos'!$A$4:$A$123,0)),""))</f>
        <v/>
      </c>
      <c r="C16" s="9" t="n"/>
      <c r="D16" s="9" t="n"/>
      <c r="E16" s="9" t="n"/>
      <c r="F16" s="9" t="n"/>
      <c r="G16" s="9" t="n"/>
      <c r="H16" s="9" t="n"/>
      <c r="I16" s="9" t="n"/>
      <c r="J16" s="15">
        <f>IF($A16="","",SUM(C16:I16))</f>
        <v/>
      </c>
    </row>
    <row r="17">
      <c r="A17" s="5" t="n"/>
      <c r="B17" s="5">
        <f>IF($A17="","",IFERROR(INDEX('01-Cadastro-Motos'!$B$4:$B$123,MATCH($A17,'01-Cadastro-Motos'!$A$4:$A$123,0)),""))</f>
        <v/>
      </c>
      <c r="C17" s="9" t="n"/>
      <c r="D17" s="9" t="n"/>
      <c r="E17" s="9" t="n"/>
      <c r="F17" s="9" t="n"/>
      <c r="G17" s="9" t="n"/>
      <c r="H17" s="9" t="n"/>
      <c r="I17" s="9" t="n"/>
      <c r="J17" s="15">
        <f>IF($A17="","",SUM(C17:I17))</f>
        <v/>
      </c>
    </row>
    <row r="18">
      <c r="A18" s="5" t="n"/>
      <c r="B18" s="5">
        <f>IF($A18="","",IFERROR(INDEX('01-Cadastro-Motos'!$B$4:$B$123,MATCH($A18,'01-Cadastro-Motos'!$A$4:$A$123,0)),""))</f>
        <v/>
      </c>
      <c r="C18" s="9" t="n"/>
      <c r="D18" s="9" t="n"/>
      <c r="E18" s="9" t="n"/>
      <c r="F18" s="9" t="n"/>
      <c r="G18" s="9" t="n"/>
      <c r="H18" s="9" t="n"/>
      <c r="I18" s="9" t="n"/>
      <c r="J18" s="15">
        <f>IF($A18="","",SUM(C18:I18))</f>
        <v/>
      </c>
    </row>
    <row r="19">
      <c r="A19" s="5" t="n"/>
      <c r="B19" s="5">
        <f>IF($A19="","",IFERROR(INDEX('01-Cadastro-Motos'!$B$4:$B$123,MATCH($A19,'01-Cadastro-Motos'!$A$4:$A$123,0)),""))</f>
        <v/>
      </c>
      <c r="C19" s="9" t="n"/>
      <c r="D19" s="9" t="n"/>
      <c r="E19" s="9" t="n"/>
      <c r="F19" s="9" t="n"/>
      <c r="G19" s="9" t="n"/>
      <c r="H19" s="9" t="n"/>
      <c r="I19" s="9" t="n"/>
      <c r="J19" s="15">
        <f>IF($A19="","",SUM(C19:I19))</f>
        <v/>
      </c>
    </row>
    <row r="20">
      <c r="A20" s="5" t="n"/>
      <c r="B20" s="5">
        <f>IF($A20="","",IFERROR(INDEX('01-Cadastro-Motos'!$B$4:$B$123,MATCH($A20,'01-Cadastro-Motos'!$A$4:$A$123,0)),""))</f>
        <v/>
      </c>
      <c r="C20" s="9" t="n"/>
      <c r="D20" s="9" t="n"/>
      <c r="E20" s="9" t="n"/>
      <c r="F20" s="9" t="n"/>
      <c r="G20" s="9" t="n"/>
      <c r="H20" s="9" t="n"/>
      <c r="I20" s="9" t="n"/>
      <c r="J20" s="15">
        <f>IF($A20="","",SUM(C20:I20))</f>
        <v/>
      </c>
    </row>
    <row r="21">
      <c r="A21" s="5" t="n"/>
      <c r="B21" s="5">
        <f>IF($A21="","",IFERROR(INDEX('01-Cadastro-Motos'!$B$4:$B$123,MATCH($A21,'01-Cadastro-Motos'!$A$4:$A$123,0)),""))</f>
        <v/>
      </c>
      <c r="C21" s="9" t="n"/>
      <c r="D21" s="9" t="n"/>
      <c r="E21" s="9" t="n"/>
      <c r="F21" s="9" t="n"/>
      <c r="G21" s="9" t="n"/>
      <c r="H21" s="9" t="n"/>
      <c r="I21" s="9" t="n"/>
      <c r="J21" s="15">
        <f>IF($A21="","",SUM(C21:I21))</f>
        <v/>
      </c>
    </row>
    <row r="22">
      <c r="A22" s="5" t="n"/>
      <c r="B22" s="5">
        <f>IF($A22="","",IFERROR(INDEX('01-Cadastro-Motos'!$B$4:$B$123,MATCH($A22,'01-Cadastro-Motos'!$A$4:$A$123,0)),""))</f>
        <v/>
      </c>
      <c r="C22" s="9" t="n"/>
      <c r="D22" s="9" t="n"/>
      <c r="E22" s="9" t="n"/>
      <c r="F22" s="9" t="n"/>
      <c r="G22" s="9" t="n"/>
      <c r="H22" s="9" t="n"/>
      <c r="I22" s="9" t="n"/>
      <c r="J22" s="15">
        <f>IF($A22="","",SUM(C22:I22))</f>
        <v/>
      </c>
    </row>
    <row r="23">
      <c r="A23" s="5" t="n"/>
      <c r="B23" s="5">
        <f>IF($A23="","",IFERROR(INDEX('01-Cadastro-Motos'!$B$4:$B$123,MATCH($A23,'01-Cadastro-Motos'!$A$4:$A$123,0)),""))</f>
        <v/>
      </c>
      <c r="C23" s="9" t="n"/>
      <c r="D23" s="9" t="n"/>
      <c r="E23" s="9" t="n"/>
      <c r="F23" s="9" t="n"/>
      <c r="G23" s="9" t="n"/>
      <c r="H23" s="9" t="n"/>
      <c r="I23" s="9" t="n"/>
      <c r="J23" s="15">
        <f>IF($A23="","",SUM(C23:I23))</f>
        <v/>
      </c>
    </row>
    <row r="24">
      <c r="A24" s="5" t="n"/>
      <c r="B24" s="5">
        <f>IF($A24="","",IFERROR(INDEX('01-Cadastro-Motos'!$B$4:$B$123,MATCH($A24,'01-Cadastro-Motos'!$A$4:$A$123,0)),""))</f>
        <v/>
      </c>
      <c r="C24" s="9" t="n"/>
      <c r="D24" s="9" t="n"/>
      <c r="E24" s="9" t="n"/>
      <c r="F24" s="9" t="n"/>
      <c r="G24" s="9" t="n"/>
      <c r="H24" s="9" t="n"/>
      <c r="I24" s="9" t="n"/>
      <c r="J24" s="15">
        <f>IF($A24="","",SUM(C24:I24))</f>
        <v/>
      </c>
    </row>
    <row r="25">
      <c r="A25" s="5" t="n"/>
      <c r="B25" s="5">
        <f>IF($A25="","",IFERROR(INDEX('01-Cadastro-Motos'!$B$4:$B$123,MATCH($A25,'01-Cadastro-Motos'!$A$4:$A$123,0)),""))</f>
        <v/>
      </c>
      <c r="C25" s="9" t="n"/>
      <c r="D25" s="9" t="n"/>
      <c r="E25" s="9" t="n"/>
      <c r="F25" s="9" t="n"/>
      <c r="G25" s="9" t="n"/>
      <c r="H25" s="9" t="n"/>
      <c r="I25" s="9" t="n"/>
      <c r="J25" s="15">
        <f>IF($A25="","",SUM(C25:I25))</f>
        <v/>
      </c>
    </row>
    <row r="26">
      <c r="A26" s="5" t="n"/>
      <c r="B26" s="5">
        <f>IF($A26="","",IFERROR(INDEX('01-Cadastro-Motos'!$B$4:$B$123,MATCH($A26,'01-Cadastro-Motos'!$A$4:$A$123,0)),""))</f>
        <v/>
      </c>
      <c r="C26" s="9" t="n"/>
      <c r="D26" s="9" t="n"/>
      <c r="E26" s="9" t="n"/>
      <c r="F26" s="9" t="n"/>
      <c r="G26" s="9" t="n"/>
      <c r="H26" s="9" t="n"/>
      <c r="I26" s="9" t="n"/>
      <c r="J26" s="15">
        <f>IF($A26="","",SUM(C26:I26))</f>
        <v/>
      </c>
    </row>
    <row r="27">
      <c r="A27" s="5" t="n"/>
      <c r="B27" s="5">
        <f>IF($A27="","",IFERROR(INDEX('01-Cadastro-Motos'!$B$4:$B$123,MATCH($A27,'01-Cadastro-Motos'!$A$4:$A$123,0)),""))</f>
        <v/>
      </c>
      <c r="C27" s="9" t="n"/>
      <c r="D27" s="9" t="n"/>
      <c r="E27" s="9" t="n"/>
      <c r="F27" s="9" t="n"/>
      <c r="G27" s="9" t="n"/>
      <c r="H27" s="9" t="n"/>
      <c r="I27" s="9" t="n"/>
      <c r="J27" s="15">
        <f>IF($A27="","",SUM(C27:I27))</f>
        <v/>
      </c>
    </row>
    <row r="28">
      <c r="A28" s="5" t="n"/>
      <c r="B28" s="5">
        <f>IF($A28="","",IFERROR(INDEX('01-Cadastro-Motos'!$B$4:$B$123,MATCH($A28,'01-Cadastro-Motos'!$A$4:$A$123,0)),""))</f>
        <v/>
      </c>
      <c r="C28" s="9" t="n"/>
      <c r="D28" s="9" t="n"/>
      <c r="E28" s="9" t="n"/>
      <c r="F28" s="9" t="n"/>
      <c r="G28" s="9" t="n"/>
      <c r="H28" s="9" t="n"/>
      <c r="I28" s="9" t="n"/>
      <c r="J28" s="15">
        <f>IF($A28="","",SUM(C28:I28))</f>
        <v/>
      </c>
    </row>
    <row r="29">
      <c r="A29" s="5" t="n"/>
      <c r="B29" s="5">
        <f>IF($A29="","",IFERROR(INDEX('01-Cadastro-Motos'!$B$4:$B$123,MATCH($A29,'01-Cadastro-Motos'!$A$4:$A$123,0)),""))</f>
        <v/>
      </c>
      <c r="C29" s="9" t="n"/>
      <c r="D29" s="9" t="n"/>
      <c r="E29" s="9" t="n"/>
      <c r="F29" s="9" t="n"/>
      <c r="G29" s="9" t="n"/>
      <c r="H29" s="9" t="n"/>
      <c r="I29" s="9" t="n"/>
      <c r="J29" s="15">
        <f>IF($A29="","",SUM(C29:I29))</f>
        <v/>
      </c>
    </row>
    <row r="30">
      <c r="A30" s="5" t="n"/>
      <c r="B30" s="5">
        <f>IF($A30="","",IFERROR(INDEX('01-Cadastro-Motos'!$B$4:$B$123,MATCH($A30,'01-Cadastro-Motos'!$A$4:$A$123,0)),""))</f>
        <v/>
      </c>
      <c r="C30" s="9" t="n"/>
      <c r="D30" s="9" t="n"/>
      <c r="E30" s="9" t="n"/>
      <c r="F30" s="9" t="n"/>
      <c r="G30" s="9" t="n"/>
      <c r="H30" s="9" t="n"/>
      <c r="I30" s="9" t="n"/>
      <c r="J30" s="15">
        <f>IF($A30="","",SUM(C30:I30))</f>
        <v/>
      </c>
    </row>
    <row r="31">
      <c r="A31" s="5" t="n"/>
      <c r="B31" s="5">
        <f>IF($A31="","",IFERROR(INDEX('01-Cadastro-Motos'!$B$4:$B$123,MATCH($A31,'01-Cadastro-Motos'!$A$4:$A$123,0)),""))</f>
        <v/>
      </c>
      <c r="C31" s="9" t="n"/>
      <c r="D31" s="9" t="n"/>
      <c r="E31" s="9" t="n"/>
      <c r="F31" s="9" t="n"/>
      <c r="G31" s="9" t="n"/>
      <c r="H31" s="9" t="n"/>
      <c r="I31" s="9" t="n"/>
      <c r="J31" s="15">
        <f>IF($A31="","",SUM(C31:I31))</f>
        <v/>
      </c>
    </row>
    <row r="32">
      <c r="A32" s="5" t="n"/>
      <c r="B32" s="5">
        <f>IF($A32="","",IFERROR(INDEX('01-Cadastro-Motos'!$B$4:$B$123,MATCH($A32,'01-Cadastro-Motos'!$A$4:$A$123,0)),""))</f>
        <v/>
      </c>
      <c r="C32" s="9" t="n"/>
      <c r="D32" s="9" t="n"/>
      <c r="E32" s="9" t="n"/>
      <c r="F32" s="9" t="n"/>
      <c r="G32" s="9" t="n"/>
      <c r="H32" s="9" t="n"/>
      <c r="I32" s="9" t="n"/>
      <c r="J32" s="15">
        <f>IF($A32="","",SUM(C32:I32))</f>
        <v/>
      </c>
    </row>
    <row r="33">
      <c r="A33" s="5" t="n"/>
      <c r="B33" s="5">
        <f>IF($A33="","",IFERROR(INDEX('01-Cadastro-Motos'!$B$4:$B$123,MATCH($A33,'01-Cadastro-Motos'!$A$4:$A$123,0)),""))</f>
        <v/>
      </c>
      <c r="C33" s="9" t="n"/>
      <c r="D33" s="9" t="n"/>
      <c r="E33" s="9" t="n"/>
      <c r="F33" s="9" t="n"/>
      <c r="G33" s="9" t="n"/>
      <c r="H33" s="9" t="n"/>
      <c r="I33" s="9" t="n"/>
      <c r="J33" s="15">
        <f>IF($A33="","",SUM(C33:I33))</f>
        <v/>
      </c>
    </row>
    <row r="34">
      <c r="A34" s="5" t="n"/>
      <c r="B34" s="5">
        <f>IF($A34="","",IFERROR(INDEX('01-Cadastro-Motos'!$B$4:$B$123,MATCH($A34,'01-Cadastro-Motos'!$A$4:$A$123,0)),""))</f>
        <v/>
      </c>
      <c r="C34" s="9" t="n"/>
      <c r="D34" s="9" t="n"/>
      <c r="E34" s="9" t="n"/>
      <c r="F34" s="9" t="n"/>
      <c r="G34" s="9" t="n"/>
      <c r="H34" s="9" t="n"/>
      <c r="I34" s="9" t="n"/>
      <c r="J34" s="15">
        <f>IF($A34="","",SUM(C34:I34))</f>
        <v/>
      </c>
    </row>
    <row r="35">
      <c r="A35" s="5" t="n"/>
      <c r="B35" s="5">
        <f>IF($A35="","",IFERROR(INDEX('01-Cadastro-Motos'!$B$4:$B$123,MATCH($A35,'01-Cadastro-Motos'!$A$4:$A$123,0)),""))</f>
        <v/>
      </c>
      <c r="C35" s="9" t="n"/>
      <c r="D35" s="9" t="n"/>
      <c r="E35" s="9" t="n"/>
      <c r="F35" s="9" t="n"/>
      <c r="G35" s="9" t="n"/>
      <c r="H35" s="9" t="n"/>
      <c r="I35" s="9" t="n"/>
      <c r="J35" s="15">
        <f>IF($A35="","",SUM(C35:I35))</f>
        <v/>
      </c>
    </row>
    <row r="36">
      <c r="A36" s="5" t="n"/>
      <c r="B36" s="5">
        <f>IF($A36="","",IFERROR(INDEX('01-Cadastro-Motos'!$B$4:$B$123,MATCH($A36,'01-Cadastro-Motos'!$A$4:$A$123,0)),""))</f>
        <v/>
      </c>
      <c r="C36" s="9" t="n"/>
      <c r="D36" s="9" t="n"/>
      <c r="E36" s="9" t="n"/>
      <c r="F36" s="9" t="n"/>
      <c r="G36" s="9" t="n"/>
      <c r="H36" s="9" t="n"/>
      <c r="I36" s="9" t="n"/>
      <c r="J36" s="15">
        <f>IF($A36="","",SUM(C36:I36))</f>
        <v/>
      </c>
    </row>
    <row r="37">
      <c r="A37" s="5" t="n"/>
      <c r="B37" s="5">
        <f>IF($A37="","",IFERROR(INDEX('01-Cadastro-Motos'!$B$4:$B$123,MATCH($A37,'01-Cadastro-Motos'!$A$4:$A$123,0)),""))</f>
        <v/>
      </c>
      <c r="C37" s="9" t="n"/>
      <c r="D37" s="9" t="n"/>
      <c r="E37" s="9" t="n"/>
      <c r="F37" s="9" t="n"/>
      <c r="G37" s="9" t="n"/>
      <c r="H37" s="9" t="n"/>
      <c r="I37" s="9" t="n"/>
      <c r="J37" s="15">
        <f>IF($A37="","",SUM(C37:I37))</f>
        <v/>
      </c>
    </row>
    <row r="38">
      <c r="A38" s="5" t="n"/>
      <c r="B38" s="5">
        <f>IF($A38="","",IFERROR(INDEX('01-Cadastro-Motos'!$B$4:$B$123,MATCH($A38,'01-Cadastro-Motos'!$A$4:$A$123,0)),""))</f>
        <v/>
      </c>
      <c r="C38" s="9" t="n"/>
      <c r="D38" s="9" t="n"/>
      <c r="E38" s="9" t="n"/>
      <c r="F38" s="9" t="n"/>
      <c r="G38" s="9" t="n"/>
      <c r="H38" s="9" t="n"/>
      <c r="I38" s="9" t="n"/>
      <c r="J38" s="15">
        <f>IF($A38="","",SUM(C38:I38))</f>
        <v/>
      </c>
    </row>
    <row r="39">
      <c r="A39" s="5" t="n"/>
      <c r="B39" s="5">
        <f>IF($A39="","",IFERROR(INDEX('01-Cadastro-Motos'!$B$4:$B$123,MATCH($A39,'01-Cadastro-Motos'!$A$4:$A$123,0)),""))</f>
        <v/>
      </c>
      <c r="C39" s="9" t="n"/>
      <c r="D39" s="9" t="n"/>
      <c r="E39" s="9" t="n"/>
      <c r="F39" s="9" t="n"/>
      <c r="G39" s="9" t="n"/>
      <c r="H39" s="9" t="n"/>
      <c r="I39" s="9" t="n"/>
      <c r="J39" s="15">
        <f>IF($A39="","",SUM(C39:I39))</f>
        <v/>
      </c>
    </row>
    <row r="40">
      <c r="A40" s="5" t="n"/>
      <c r="B40" s="5">
        <f>IF($A40="","",IFERROR(INDEX('01-Cadastro-Motos'!$B$4:$B$123,MATCH($A40,'01-Cadastro-Motos'!$A$4:$A$123,0)),""))</f>
        <v/>
      </c>
      <c r="C40" s="9" t="n"/>
      <c r="D40" s="9" t="n"/>
      <c r="E40" s="9" t="n"/>
      <c r="F40" s="9" t="n"/>
      <c r="G40" s="9" t="n"/>
      <c r="H40" s="9" t="n"/>
      <c r="I40" s="9" t="n"/>
      <c r="J40" s="15">
        <f>IF($A40="","",SUM(C40:I40))</f>
        <v/>
      </c>
    </row>
    <row r="41">
      <c r="A41" s="5" t="n"/>
      <c r="B41" s="5">
        <f>IF($A41="","",IFERROR(INDEX('01-Cadastro-Motos'!$B$4:$B$123,MATCH($A41,'01-Cadastro-Motos'!$A$4:$A$123,0)),""))</f>
        <v/>
      </c>
      <c r="C41" s="9" t="n"/>
      <c r="D41" s="9" t="n"/>
      <c r="E41" s="9" t="n"/>
      <c r="F41" s="9" t="n"/>
      <c r="G41" s="9" t="n"/>
      <c r="H41" s="9" t="n"/>
      <c r="I41" s="9" t="n"/>
      <c r="J41" s="15">
        <f>IF($A41="","",SUM(C41:I41))</f>
        <v/>
      </c>
    </row>
    <row r="42">
      <c r="A42" s="5" t="n"/>
      <c r="B42" s="5">
        <f>IF($A42="","",IFERROR(INDEX('01-Cadastro-Motos'!$B$4:$B$123,MATCH($A42,'01-Cadastro-Motos'!$A$4:$A$123,0)),""))</f>
        <v/>
      </c>
      <c r="C42" s="9" t="n"/>
      <c r="D42" s="9" t="n"/>
      <c r="E42" s="9" t="n"/>
      <c r="F42" s="9" t="n"/>
      <c r="G42" s="9" t="n"/>
      <c r="H42" s="9" t="n"/>
      <c r="I42" s="9" t="n"/>
      <c r="J42" s="15">
        <f>IF($A42="","",SUM(C42:I42))</f>
        <v/>
      </c>
    </row>
    <row r="43">
      <c r="A43" s="5" t="n"/>
      <c r="B43" s="5">
        <f>IF($A43="","",IFERROR(INDEX('01-Cadastro-Motos'!$B$4:$B$123,MATCH($A43,'01-Cadastro-Motos'!$A$4:$A$123,0)),""))</f>
        <v/>
      </c>
      <c r="C43" s="9" t="n"/>
      <c r="D43" s="9" t="n"/>
      <c r="E43" s="9" t="n"/>
      <c r="F43" s="9" t="n"/>
      <c r="G43" s="9" t="n"/>
      <c r="H43" s="9" t="n"/>
      <c r="I43" s="9" t="n"/>
      <c r="J43" s="15">
        <f>IF($A43="","",SUM(C43:I43))</f>
        <v/>
      </c>
    </row>
    <row r="44">
      <c r="A44" s="5" t="n"/>
      <c r="B44" s="5">
        <f>IF($A44="","",IFERROR(INDEX('01-Cadastro-Motos'!$B$4:$B$123,MATCH($A44,'01-Cadastro-Motos'!$A$4:$A$123,0)),""))</f>
        <v/>
      </c>
      <c r="C44" s="9" t="n"/>
      <c r="D44" s="9" t="n"/>
      <c r="E44" s="9" t="n"/>
      <c r="F44" s="9" t="n"/>
      <c r="G44" s="9" t="n"/>
      <c r="H44" s="9" t="n"/>
      <c r="I44" s="9" t="n"/>
      <c r="J44" s="15">
        <f>IF($A44="","",SUM(C44:I44))</f>
        <v/>
      </c>
    </row>
    <row r="45">
      <c r="A45" s="5" t="n"/>
      <c r="B45" s="5">
        <f>IF($A45="","",IFERROR(INDEX('01-Cadastro-Motos'!$B$4:$B$123,MATCH($A45,'01-Cadastro-Motos'!$A$4:$A$123,0)),""))</f>
        <v/>
      </c>
      <c r="C45" s="9" t="n"/>
      <c r="D45" s="9" t="n"/>
      <c r="E45" s="9" t="n"/>
      <c r="F45" s="9" t="n"/>
      <c r="G45" s="9" t="n"/>
      <c r="H45" s="9" t="n"/>
      <c r="I45" s="9" t="n"/>
      <c r="J45" s="15">
        <f>IF($A45="","",SUM(C45:I45))</f>
        <v/>
      </c>
    </row>
    <row r="46">
      <c r="A46" s="5" t="n"/>
      <c r="B46" s="5">
        <f>IF($A46="","",IFERROR(INDEX('01-Cadastro-Motos'!$B$4:$B$123,MATCH($A46,'01-Cadastro-Motos'!$A$4:$A$123,0)),""))</f>
        <v/>
      </c>
      <c r="C46" s="9" t="n"/>
      <c r="D46" s="9" t="n"/>
      <c r="E46" s="9" t="n"/>
      <c r="F46" s="9" t="n"/>
      <c r="G46" s="9" t="n"/>
      <c r="H46" s="9" t="n"/>
      <c r="I46" s="9" t="n"/>
      <c r="J46" s="15">
        <f>IF($A46="","",SUM(C46:I46))</f>
        <v/>
      </c>
    </row>
    <row r="47">
      <c r="A47" s="5" t="n"/>
      <c r="B47" s="5">
        <f>IF($A47="","",IFERROR(INDEX('01-Cadastro-Motos'!$B$4:$B$123,MATCH($A47,'01-Cadastro-Motos'!$A$4:$A$123,0)),""))</f>
        <v/>
      </c>
      <c r="C47" s="9" t="n"/>
      <c r="D47" s="9" t="n"/>
      <c r="E47" s="9" t="n"/>
      <c r="F47" s="9" t="n"/>
      <c r="G47" s="9" t="n"/>
      <c r="H47" s="9" t="n"/>
      <c r="I47" s="9" t="n"/>
      <c r="J47" s="15">
        <f>IF($A47="","",SUM(C47:I47))</f>
        <v/>
      </c>
    </row>
    <row r="48">
      <c r="A48" s="5" t="n"/>
      <c r="B48" s="5">
        <f>IF($A48="","",IFERROR(INDEX('01-Cadastro-Motos'!$B$4:$B$123,MATCH($A48,'01-Cadastro-Motos'!$A$4:$A$123,0)),""))</f>
        <v/>
      </c>
      <c r="C48" s="9" t="n"/>
      <c r="D48" s="9" t="n"/>
      <c r="E48" s="9" t="n"/>
      <c r="F48" s="9" t="n"/>
      <c r="G48" s="9" t="n"/>
      <c r="H48" s="9" t="n"/>
      <c r="I48" s="9" t="n"/>
      <c r="J48" s="15">
        <f>IF($A48="","",SUM(C48:I48))</f>
        <v/>
      </c>
    </row>
    <row r="49">
      <c r="A49" s="5" t="n"/>
      <c r="B49" s="5">
        <f>IF($A49="","",IFERROR(INDEX('01-Cadastro-Motos'!$B$4:$B$123,MATCH($A49,'01-Cadastro-Motos'!$A$4:$A$123,0)),""))</f>
        <v/>
      </c>
      <c r="C49" s="9" t="n"/>
      <c r="D49" s="9" t="n"/>
      <c r="E49" s="9" t="n"/>
      <c r="F49" s="9" t="n"/>
      <c r="G49" s="9" t="n"/>
      <c r="H49" s="9" t="n"/>
      <c r="I49" s="9" t="n"/>
      <c r="J49" s="15">
        <f>IF($A49="","",SUM(C49:I49))</f>
        <v/>
      </c>
    </row>
    <row r="50">
      <c r="A50" s="5" t="n"/>
      <c r="B50" s="5">
        <f>IF($A50="","",IFERROR(INDEX('01-Cadastro-Motos'!$B$4:$B$123,MATCH($A50,'01-Cadastro-Motos'!$A$4:$A$123,0)),""))</f>
        <v/>
      </c>
      <c r="C50" s="9" t="n"/>
      <c r="D50" s="9" t="n"/>
      <c r="E50" s="9" t="n"/>
      <c r="F50" s="9" t="n"/>
      <c r="G50" s="9" t="n"/>
      <c r="H50" s="9" t="n"/>
      <c r="I50" s="9" t="n"/>
      <c r="J50" s="15">
        <f>IF($A50="","",SUM(C50:I50))</f>
        <v/>
      </c>
    </row>
    <row r="51">
      <c r="A51" s="5" t="n"/>
      <c r="B51" s="5">
        <f>IF($A51="","",IFERROR(INDEX('01-Cadastro-Motos'!$B$4:$B$123,MATCH($A51,'01-Cadastro-Motos'!$A$4:$A$123,0)),""))</f>
        <v/>
      </c>
      <c r="C51" s="9" t="n"/>
      <c r="D51" s="9" t="n"/>
      <c r="E51" s="9" t="n"/>
      <c r="F51" s="9" t="n"/>
      <c r="G51" s="9" t="n"/>
      <c r="H51" s="9" t="n"/>
      <c r="I51" s="9" t="n"/>
      <c r="J51" s="15">
        <f>IF($A51="","",SUM(C51:I51))</f>
        <v/>
      </c>
    </row>
    <row r="52">
      <c r="A52" s="5" t="n"/>
      <c r="B52" s="5">
        <f>IF($A52="","",IFERROR(INDEX('01-Cadastro-Motos'!$B$4:$B$123,MATCH($A52,'01-Cadastro-Motos'!$A$4:$A$123,0)),""))</f>
        <v/>
      </c>
      <c r="C52" s="9" t="n"/>
      <c r="D52" s="9" t="n"/>
      <c r="E52" s="9" t="n"/>
      <c r="F52" s="9" t="n"/>
      <c r="G52" s="9" t="n"/>
      <c r="H52" s="9" t="n"/>
      <c r="I52" s="9" t="n"/>
      <c r="J52" s="15">
        <f>IF($A52="","",SUM(C52:I52))</f>
        <v/>
      </c>
    </row>
    <row r="53">
      <c r="A53" s="5" t="n"/>
      <c r="B53" s="5">
        <f>IF($A53="","",IFERROR(INDEX('01-Cadastro-Motos'!$B$4:$B$123,MATCH($A53,'01-Cadastro-Motos'!$A$4:$A$123,0)),""))</f>
        <v/>
      </c>
      <c r="C53" s="9" t="n"/>
      <c r="D53" s="9" t="n"/>
      <c r="E53" s="9" t="n"/>
      <c r="F53" s="9" t="n"/>
      <c r="G53" s="9" t="n"/>
      <c r="H53" s="9" t="n"/>
      <c r="I53" s="9" t="n"/>
      <c r="J53" s="15">
        <f>IF($A53="","",SUM(C53:I53))</f>
        <v/>
      </c>
    </row>
    <row r="54">
      <c r="A54" s="5" t="n"/>
      <c r="B54" s="5">
        <f>IF($A54="","",IFERROR(INDEX('01-Cadastro-Motos'!$B$4:$B$123,MATCH($A54,'01-Cadastro-Motos'!$A$4:$A$123,0)),""))</f>
        <v/>
      </c>
      <c r="C54" s="9" t="n"/>
      <c r="D54" s="9" t="n"/>
      <c r="E54" s="9" t="n"/>
      <c r="F54" s="9" t="n"/>
      <c r="G54" s="9" t="n"/>
      <c r="H54" s="9" t="n"/>
      <c r="I54" s="9" t="n"/>
      <c r="J54" s="15">
        <f>IF($A54="","",SUM(C54:I54))</f>
        <v/>
      </c>
    </row>
    <row r="55">
      <c r="A55" s="5" t="n"/>
      <c r="B55" s="5">
        <f>IF($A55="","",IFERROR(INDEX('01-Cadastro-Motos'!$B$4:$B$123,MATCH($A55,'01-Cadastro-Motos'!$A$4:$A$123,0)),""))</f>
        <v/>
      </c>
      <c r="C55" s="9" t="n"/>
      <c r="D55" s="9" t="n"/>
      <c r="E55" s="9" t="n"/>
      <c r="F55" s="9" t="n"/>
      <c r="G55" s="9" t="n"/>
      <c r="H55" s="9" t="n"/>
      <c r="I55" s="9" t="n"/>
      <c r="J55" s="15">
        <f>IF($A55="","",SUM(C55:I55))</f>
        <v/>
      </c>
    </row>
    <row r="56">
      <c r="A56" s="5" t="n"/>
      <c r="B56" s="5">
        <f>IF($A56="","",IFERROR(INDEX('01-Cadastro-Motos'!$B$4:$B$123,MATCH($A56,'01-Cadastro-Motos'!$A$4:$A$123,0)),""))</f>
        <v/>
      </c>
      <c r="C56" s="9" t="n"/>
      <c r="D56" s="9" t="n"/>
      <c r="E56" s="9" t="n"/>
      <c r="F56" s="9" t="n"/>
      <c r="G56" s="9" t="n"/>
      <c r="H56" s="9" t="n"/>
      <c r="I56" s="9" t="n"/>
      <c r="J56" s="15">
        <f>IF($A56="","",SUM(C56:I56))</f>
        <v/>
      </c>
    </row>
    <row r="57">
      <c r="A57" s="5" t="n"/>
      <c r="B57" s="5">
        <f>IF($A57="","",IFERROR(INDEX('01-Cadastro-Motos'!$B$4:$B$123,MATCH($A57,'01-Cadastro-Motos'!$A$4:$A$123,0)),""))</f>
        <v/>
      </c>
      <c r="C57" s="9" t="n"/>
      <c r="D57" s="9" t="n"/>
      <c r="E57" s="9" t="n"/>
      <c r="F57" s="9" t="n"/>
      <c r="G57" s="9" t="n"/>
      <c r="H57" s="9" t="n"/>
      <c r="I57" s="9" t="n"/>
      <c r="J57" s="15">
        <f>IF($A57="","",SUM(C57:I57))</f>
        <v/>
      </c>
    </row>
    <row r="58">
      <c r="A58" s="5" t="n"/>
      <c r="B58" s="5">
        <f>IF($A58="","",IFERROR(INDEX('01-Cadastro-Motos'!$B$4:$B$123,MATCH($A58,'01-Cadastro-Motos'!$A$4:$A$123,0)),""))</f>
        <v/>
      </c>
      <c r="C58" s="9" t="n"/>
      <c r="D58" s="9" t="n"/>
      <c r="E58" s="9" t="n"/>
      <c r="F58" s="9" t="n"/>
      <c r="G58" s="9" t="n"/>
      <c r="H58" s="9" t="n"/>
      <c r="I58" s="9" t="n"/>
      <c r="J58" s="15">
        <f>IF($A58="","",SUM(C58:I58))</f>
        <v/>
      </c>
    </row>
    <row r="59">
      <c r="A59" s="5" t="n"/>
      <c r="B59" s="5">
        <f>IF($A59="","",IFERROR(INDEX('01-Cadastro-Motos'!$B$4:$B$123,MATCH($A59,'01-Cadastro-Motos'!$A$4:$A$123,0)),""))</f>
        <v/>
      </c>
      <c r="C59" s="9" t="n"/>
      <c r="D59" s="9" t="n"/>
      <c r="E59" s="9" t="n"/>
      <c r="F59" s="9" t="n"/>
      <c r="G59" s="9" t="n"/>
      <c r="H59" s="9" t="n"/>
      <c r="I59" s="9" t="n"/>
      <c r="J59" s="15">
        <f>IF($A59="","",SUM(C59:I59))</f>
        <v/>
      </c>
    </row>
    <row r="60">
      <c r="A60" s="5" t="n"/>
      <c r="B60" s="5">
        <f>IF($A60="","",IFERROR(INDEX('01-Cadastro-Motos'!$B$4:$B$123,MATCH($A60,'01-Cadastro-Motos'!$A$4:$A$123,0)),""))</f>
        <v/>
      </c>
      <c r="C60" s="9" t="n"/>
      <c r="D60" s="9" t="n"/>
      <c r="E60" s="9" t="n"/>
      <c r="F60" s="9" t="n"/>
      <c r="G60" s="9" t="n"/>
      <c r="H60" s="9" t="n"/>
      <c r="I60" s="9" t="n"/>
      <c r="J60" s="15">
        <f>IF($A60="","",SUM(C60:I60))</f>
        <v/>
      </c>
    </row>
    <row r="61">
      <c r="A61" s="5" t="n"/>
      <c r="B61" s="5">
        <f>IF($A61="","",IFERROR(INDEX('01-Cadastro-Motos'!$B$4:$B$123,MATCH($A61,'01-Cadastro-Motos'!$A$4:$A$123,0)),""))</f>
        <v/>
      </c>
      <c r="C61" s="9" t="n"/>
      <c r="D61" s="9" t="n"/>
      <c r="E61" s="9" t="n"/>
      <c r="F61" s="9" t="n"/>
      <c r="G61" s="9" t="n"/>
      <c r="H61" s="9" t="n"/>
      <c r="I61" s="9" t="n"/>
      <c r="J61" s="15">
        <f>IF($A61="","",SUM(C61:I61))</f>
        <v/>
      </c>
    </row>
    <row r="62">
      <c r="A62" s="5" t="n"/>
      <c r="B62" s="5">
        <f>IF($A62="","",IFERROR(INDEX('01-Cadastro-Motos'!$B$4:$B$123,MATCH($A62,'01-Cadastro-Motos'!$A$4:$A$123,0)),""))</f>
        <v/>
      </c>
      <c r="C62" s="9" t="n"/>
      <c r="D62" s="9" t="n"/>
      <c r="E62" s="9" t="n"/>
      <c r="F62" s="9" t="n"/>
      <c r="G62" s="9" t="n"/>
      <c r="H62" s="9" t="n"/>
      <c r="I62" s="9" t="n"/>
      <c r="J62" s="15">
        <f>IF($A62="","",SUM(C62:I62))</f>
        <v/>
      </c>
    </row>
    <row r="63">
      <c r="A63" s="5" t="n"/>
      <c r="B63" s="5">
        <f>IF($A63="","",IFERROR(INDEX('01-Cadastro-Motos'!$B$4:$B$123,MATCH($A63,'01-Cadastro-Motos'!$A$4:$A$123,0)),""))</f>
        <v/>
      </c>
      <c r="C63" s="9" t="n"/>
      <c r="D63" s="9" t="n"/>
      <c r="E63" s="9" t="n"/>
      <c r="F63" s="9" t="n"/>
      <c r="G63" s="9" t="n"/>
      <c r="H63" s="9" t="n"/>
      <c r="I63" s="9" t="n"/>
      <c r="J63" s="15">
        <f>IF($A63="","",SUM(C63:I63))</f>
        <v/>
      </c>
    </row>
    <row r="64">
      <c r="A64" s="5" t="n"/>
      <c r="B64" s="5">
        <f>IF($A64="","",IFERROR(INDEX('01-Cadastro-Motos'!$B$4:$B$123,MATCH($A64,'01-Cadastro-Motos'!$A$4:$A$123,0)),""))</f>
        <v/>
      </c>
      <c r="C64" s="9" t="n"/>
      <c r="D64" s="9" t="n"/>
      <c r="E64" s="9" t="n"/>
      <c r="F64" s="9" t="n"/>
      <c r="G64" s="9" t="n"/>
      <c r="H64" s="9" t="n"/>
      <c r="I64" s="9" t="n"/>
      <c r="J64" s="15">
        <f>IF($A64="","",SUM(C64:I64))</f>
        <v/>
      </c>
    </row>
    <row r="65">
      <c r="A65" s="5" t="n"/>
      <c r="B65" s="5">
        <f>IF($A65="","",IFERROR(INDEX('01-Cadastro-Motos'!$B$4:$B$123,MATCH($A65,'01-Cadastro-Motos'!$A$4:$A$123,0)),""))</f>
        <v/>
      </c>
      <c r="C65" s="9" t="n"/>
      <c r="D65" s="9" t="n"/>
      <c r="E65" s="9" t="n"/>
      <c r="F65" s="9" t="n"/>
      <c r="G65" s="9" t="n"/>
      <c r="H65" s="9" t="n"/>
      <c r="I65" s="9" t="n"/>
      <c r="J65" s="15">
        <f>IF($A65="","",SUM(C65:I65))</f>
        <v/>
      </c>
    </row>
    <row r="66">
      <c r="A66" s="5" t="n"/>
      <c r="B66" s="5">
        <f>IF($A66="","",IFERROR(INDEX('01-Cadastro-Motos'!$B$4:$B$123,MATCH($A66,'01-Cadastro-Motos'!$A$4:$A$123,0)),""))</f>
        <v/>
      </c>
      <c r="C66" s="9" t="n"/>
      <c r="D66" s="9" t="n"/>
      <c r="E66" s="9" t="n"/>
      <c r="F66" s="9" t="n"/>
      <c r="G66" s="9" t="n"/>
      <c r="H66" s="9" t="n"/>
      <c r="I66" s="9" t="n"/>
      <c r="J66" s="15">
        <f>IF($A66="","",SUM(C66:I66))</f>
        <v/>
      </c>
    </row>
    <row r="67">
      <c r="A67" s="5" t="n"/>
      <c r="B67" s="5">
        <f>IF($A67="","",IFERROR(INDEX('01-Cadastro-Motos'!$B$4:$B$123,MATCH($A67,'01-Cadastro-Motos'!$A$4:$A$123,0)),""))</f>
        <v/>
      </c>
      <c r="C67" s="9" t="n"/>
      <c r="D67" s="9" t="n"/>
      <c r="E67" s="9" t="n"/>
      <c r="F67" s="9" t="n"/>
      <c r="G67" s="9" t="n"/>
      <c r="H67" s="9" t="n"/>
      <c r="I67" s="9" t="n"/>
      <c r="J67" s="15">
        <f>IF($A67="","",SUM(C67:I67))</f>
        <v/>
      </c>
    </row>
    <row r="68">
      <c r="A68" s="5" t="n"/>
      <c r="B68" s="5">
        <f>IF($A68="","",IFERROR(INDEX('01-Cadastro-Motos'!$B$4:$B$123,MATCH($A68,'01-Cadastro-Motos'!$A$4:$A$123,0)),""))</f>
        <v/>
      </c>
      <c r="C68" s="9" t="n"/>
      <c r="D68" s="9" t="n"/>
      <c r="E68" s="9" t="n"/>
      <c r="F68" s="9" t="n"/>
      <c r="G68" s="9" t="n"/>
      <c r="H68" s="9" t="n"/>
      <c r="I68" s="9" t="n"/>
      <c r="J68" s="15">
        <f>IF($A68="","",SUM(C68:I68))</f>
        <v/>
      </c>
    </row>
    <row r="69">
      <c r="A69" s="5" t="n"/>
      <c r="B69" s="5">
        <f>IF($A69="","",IFERROR(INDEX('01-Cadastro-Motos'!$B$4:$B$123,MATCH($A69,'01-Cadastro-Motos'!$A$4:$A$123,0)),""))</f>
        <v/>
      </c>
      <c r="C69" s="9" t="n"/>
      <c r="D69" s="9" t="n"/>
      <c r="E69" s="9" t="n"/>
      <c r="F69" s="9" t="n"/>
      <c r="G69" s="9" t="n"/>
      <c r="H69" s="9" t="n"/>
      <c r="I69" s="9" t="n"/>
      <c r="J69" s="15">
        <f>IF($A69="","",SUM(C69:I69))</f>
        <v/>
      </c>
    </row>
    <row r="70">
      <c r="A70" s="5" t="n"/>
      <c r="B70" s="5">
        <f>IF($A70="","",IFERROR(INDEX('01-Cadastro-Motos'!$B$4:$B$123,MATCH($A70,'01-Cadastro-Motos'!$A$4:$A$123,0)),""))</f>
        <v/>
      </c>
      <c r="C70" s="9" t="n"/>
      <c r="D70" s="9" t="n"/>
      <c r="E70" s="9" t="n"/>
      <c r="F70" s="9" t="n"/>
      <c r="G70" s="9" t="n"/>
      <c r="H70" s="9" t="n"/>
      <c r="I70" s="9" t="n"/>
      <c r="J70" s="15">
        <f>IF($A70="","",SUM(C70:I70))</f>
        <v/>
      </c>
    </row>
    <row r="71">
      <c r="A71" s="5" t="n"/>
      <c r="B71" s="5">
        <f>IF($A71="","",IFERROR(INDEX('01-Cadastro-Motos'!$B$4:$B$123,MATCH($A71,'01-Cadastro-Motos'!$A$4:$A$123,0)),""))</f>
        <v/>
      </c>
      <c r="C71" s="9" t="n"/>
      <c r="D71" s="9" t="n"/>
      <c r="E71" s="9" t="n"/>
      <c r="F71" s="9" t="n"/>
      <c r="G71" s="9" t="n"/>
      <c r="H71" s="9" t="n"/>
      <c r="I71" s="9" t="n"/>
      <c r="J71" s="15">
        <f>IF($A71="","",SUM(C71:I71))</f>
        <v/>
      </c>
    </row>
    <row r="72">
      <c r="A72" s="5" t="n"/>
      <c r="B72" s="5">
        <f>IF($A72="","",IFERROR(INDEX('01-Cadastro-Motos'!$B$4:$B$123,MATCH($A72,'01-Cadastro-Motos'!$A$4:$A$123,0)),""))</f>
        <v/>
      </c>
      <c r="C72" s="9" t="n"/>
      <c r="D72" s="9" t="n"/>
      <c r="E72" s="9" t="n"/>
      <c r="F72" s="9" t="n"/>
      <c r="G72" s="9" t="n"/>
      <c r="H72" s="9" t="n"/>
      <c r="I72" s="9" t="n"/>
      <c r="J72" s="15">
        <f>IF($A72="","",SUM(C72:I72))</f>
        <v/>
      </c>
    </row>
    <row r="73">
      <c r="A73" s="5" t="n"/>
      <c r="B73" s="5">
        <f>IF($A73="","",IFERROR(INDEX('01-Cadastro-Motos'!$B$4:$B$123,MATCH($A73,'01-Cadastro-Motos'!$A$4:$A$123,0)),""))</f>
        <v/>
      </c>
      <c r="C73" s="9" t="n"/>
      <c r="D73" s="9" t="n"/>
      <c r="E73" s="9" t="n"/>
      <c r="F73" s="9" t="n"/>
      <c r="G73" s="9" t="n"/>
      <c r="H73" s="9" t="n"/>
      <c r="I73" s="9" t="n"/>
      <c r="J73" s="15">
        <f>IF($A73="","",SUM(C73:I73))</f>
        <v/>
      </c>
    </row>
    <row r="74">
      <c r="A74" s="5" t="n"/>
      <c r="B74" s="5">
        <f>IF($A74="","",IFERROR(INDEX('01-Cadastro-Motos'!$B$4:$B$123,MATCH($A74,'01-Cadastro-Motos'!$A$4:$A$123,0)),""))</f>
        <v/>
      </c>
      <c r="C74" s="9" t="n"/>
      <c r="D74" s="9" t="n"/>
      <c r="E74" s="9" t="n"/>
      <c r="F74" s="9" t="n"/>
      <c r="G74" s="9" t="n"/>
      <c r="H74" s="9" t="n"/>
      <c r="I74" s="9" t="n"/>
      <c r="J74" s="15">
        <f>IF($A74="","",SUM(C74:I74))</f>
        <v/>
      </c>
    </row>
    <row r="75">
      <c r="A75" s="5" t="n"/>
      <c r="B75" s="5">
        <f>IF($A75="","",IFERROR(INDEX('01-Cadastro-Motos'!$B$4:$B$123,MATCH($A75,'01-Cadastro-Motos'!$A$4:$A$123,0)),""))</f>
        <v/>
      </c>
      <c r="C75" s="9" t="n"/>
      <c r="D75" s="9" t="n"/>
      <c r="E75" s="9" t="n"/>
      <c r="F75" s="9" t="n"/>
      <c r="G75" s="9" t="n"/>
      <c r="H75" s="9" t="n"/>
      <c r="I75" s="9" t="n"/>
      <c r="J75" s="15">
        <f>IF($A75="","",SUM(C75:I75))</f>
        <v/>
      </c>
    </row>
    <row r="76">
      <c r="A76" s="5" t="n"/>
      <c r="B76" s="5">
        <f>IF($A76="","",IFERROR(INDEX('01-Cadastro-Motos'!$B$4:$B$123,MATCH($A76,'01-Cadastro-Motos'!$A$4:$A$123,0)),""))</f>
        <v/>
      </c>
      <c r="C76" s="9" t="n"/>
      <c r="D76" s="9" t="n"/>
      <c r="E76" s="9" t="n"/>
      <c r="F76" s="9" t="n"/>
      <c r="G76" s="9" t="n"/>
      <c r="H76" s="9" t="n"/>
      <c r="I76" s="9" t="n"/>
      <c r="J76" s="15">
        <f>IF($A76="","",SUM(C76:I76))</f>
        <v/>
      </c>
    </row>
    <row r="77">
      <c r="A77" s="5" t="n"/>
      <c r="B77" s="5">
        <f>IF($A77="","",IFERROR(INDEX('01-Cadastro-Motos'!$B$4:$B$123,MATCH($A77,'01-Cadastro-Motos'!$A$4:$A$123,0)),""))</f>
        <v/>
      </c>
      <c r="C77" s="9" t="n"/>
      <c r="D77" s="9" t="n"/>
      <c r="E77" s="9" t="n"/>
      <c r="F77" s="9" t="n"/>
      <c r="G77" s="9" t="n"/>
      <c r="H77" s="9" t="n"/>
      <c r="I77" s="9" t="n"/>
      <c r="J77" s="15">
        <f>IF($A77="","",SUM(C77:I77))</f>
        <v/>
      </c>
    </row>
    <row r="78">
      <c r="A78" s="5" t="n"/>
      <c r="B78" s="5">
        <f>IF($A78="","",IFERROR(INDEX('01-Cadastro-Motos'!$B$4:$B$123,MATCH($A78,'01-Cadastro-Motos'!$A$4:$A$123,0)),""))</f>
        <v/>
      </c>
      <c r="C78" s="9" t="n"/>
      <c r="D78" s="9" t="n"/>
      <c r="E78" s="9" t="n"/>
      <c r="F78" s="9" t="n"/>
      <c r="G78" s="9" t="n"/>
      <c r="H78" s="9" t="n"/>
      <c r="I78" s="9" t="n"/>
      <c r="J78" s="15">
        <f>IF($A78="","",SUM(C78:I78))</f>
        <v/>
      </c>
    </row>
    <row r="79">
      <c r="A79" s="5" t="n"/>
      <c r="B79" s="5">
        <f>IF($A79="","",IFERROR(INDEX('01-Cadastro-Motos'!$B$4:$B$123,MATCH($A79,'01-Cadastro-Motos'!$A$4:$A$123,0)),""))</f>
        <v/>
      </c>
      <c r="C79" s="9" t="n"/>
      <c r="D79" s="9" t="n"/>
      <c r="E79" s="9" t="n"/>
      <c r="F79" s="9" t="n"/>
      <c r="G79" s="9" t="n"/>
      <c r="H79" s="9" t="n"/>
      <c r="I79" s="9" t="n"/>
      <c r="J79" s="15">
        <f>IF($A79="","",SUM(C79:I79))</f>
        <v/>
      </c>
    </row>
    <row r="80">
      <c r="A80" s="5" t="n"/>
      <c r="B80" s="5">
        <f>IF($A80="","",IFERROR(INDEX('01-Cadastro-Motos'!$B$4:$B$123,MATCH($A80,'01-Cadastro-Motos'!$A$4:$A$123,0)),""))</f>
        <v/>
      </c>
      <c r="C80" s="9" t="n"/>
      <c r="D80" s="9" t="n"/>
      <c r="E80" s="9" t="n"/>
      <c r="F80" s="9" t="n"/>
      <c r="G80" s="9" t="n"/>
      <c r="H80" s="9" t="n"/>
      <c r="I80" s="9" t="n"/>
      <c r="J80" s="15">
        <f>IF($A80="","",SUM(C80:I80))</f>
        <v/>
      </c>
    </row>
    <row r="81">
      <c r="A81" s="5" t="n"/>
      <c r="B81" s="5">
        <f>IF($A81="","",IFERROR(INDEX('01-Cadastro-Motos'!$B$4:$B$123,MATCH($A81,'01-Cadastro-Motos'!$A$4:$A$123,0)),""))</f>
        <v/>
      </c>
      <c r="C81" s="9" t="n"/>
      <c r="D81" s="9" t="n"/>
      <c r="E81" s="9" t="n"/>
      <c r="F81" s="9" t="n"/>
      <c r="G81" s="9" t="n"/>
      <c r="H81" s="9" t="n"/>
      <c r="I81" s="9" t="n"/>
      <c r="J81" s="15">
        <f>IF($A81="","",SUM(C81:I81))</f>
        <v/>
      </c>
    </row>
    <row r="82">
      <c r="A82" s="5" t="n"/>
      <c r="B82" s="5">
        <f>IF($A82="","",IFERROR(INDEX('01-Cadastro-Motos'!$B$4:$B$123,MATCH($A82,'01-Cadastro-Motos'!$A$4:$A$123,0)),""))</f>
        <v/>
      </c>
      <c r="C82" s="9" t="n"/>
      <c r="D82" s="9" t="n"/>
      <c r="E82" s="9" t="n"/>
      <c r="F82" s="9" t="n"/>
      <c r="G82" s="9" t="n"/>
      <c r="H82" s="9" t="n"/>
      <c r="I82" s="9" t="n"/>
      <c r="J82" s="15">
        <f>IF($A82="","",SUM(C82:I82))</f>
        <v/>
      </c>
    </row>
    <row r="83">
      <c r="A83" s="5" t="n"/>
      <c r="B83" s="5">
        <f>IF($A83="","",IFERROR(INDEX('01-Cadastro-Motos'!$B$4:$B$123,MATCH($A83,'01-Cadastro-Motos'!$A$4:$A$123,0)),""))</f>
        <v/>
      </c>
      <c r="C83" s="9" t="n"/>
      <c r="D83" s="9" t="n"/>
      <c r="E83" s="9" t="n"/>
      <c r="F83" s="9" t="n"/>
      <c r="G83" s="9" t="n"/>
      <c r="H83" s="9" t="n"/>
      <c r="I83" s="9" t="n"/>
      <c r="J83" s="15">
        <f>IF($A83="","",SUM(C83:I83))</f>
        <v/>
      </c>
    </row>
    <row r="84">
      <c r="A84" s="5" t="n"/>
      <c r="B84" s="5">
        <f>IF($A84="","",IFERROR(INDEX('01-Cadastro-Motos'!$B$4:$B$123,MATCH($A84,'01-Cadastro-Motos'!$A$4:$A$123,0)),""))</f>
        <v/>
      </c>
      <c r="C84" s="9" t="n"/>
      <c r="D84" s="9" t="n"/>
      <c r="E84" s="9" t="n"/>
      <c r="F84" s="9" t="n"/>
      <c r="G84" s="9" t="n"/>
      <c r="H84" s="9" t="n"/>
      <c r="I84" s="9" t="n"/>
      <c r="J84" s="15">
        <f>IF($A84="","",SUM(C84:I84))</f>
        <v/>
      </c>
    </row>
    <row r="85">
      <c r="A85" s="5" t="n"/>
      <c r="B85" s="5">
        <f>IF($A85="","",IFERROR(INDEX('01-Cadastro-Motos'!$B$4:$B$123,MATCH($A85,'01-Cadastro-Motos'!$A$4:$A$123,0)),""))</f>
        <v/>
      </c>
      <c r="C85" s="9" t="n"/>
      <c r="D85" s="9" t="n"/>
      <c r="E85" s="9" t="n"/>
      <c r="F85" s="9" t="n"/>
      <c r="G85" s="9" t="n"/>
      <c r="H85" s="9" t="n"/>
      <c r="I85" s="9" t="n"/>
      <c r="J85" s="15">
        <f>IF($A85="","",SUM(C85:I85))</f>
        <v/>
      </c>
    </row>
    <row r="86">
      <c r="A86" s="5" t="n"/>
      <c r="B86" s="5">
        <f>IF($A86="","",IFERROR(INDEX('01-Cadastro-Motos'!$B$4:$B$123,MATCH($A86,'01-Cadastro-Motos'!$A$4:$A$123,0)),""))</f>
        <v/>
      </c>
      <c r="C86" s="9" t="n"/>
      <c r="D86" s="9" t="n"/>
      <c r="E86" s="9" t="n"/>
      <c r="F86" s="9" t="n"/>
      <c r="G86" s="9" t="n"/>
      <c r="H86" s="9" t="n"/>
      <c r="I86" s="9" t="n"/>
      <c r="J86" s="15">
        <f>IF($A86="","",SUM(C86:I86))</f>
        <v/>
      </c>
    </row>
    <row r="87">
      <c r="A87" s="5" t="n"/>
      <c r="B87" s="5">
        <f>IF($A87="","",IFERROR(INDEX('01-Cadastro-Motos'!$B$4:$B$123,MATCH($A87,'01-Cadastro-Motos'!$A$4:$A$123,0)),""))</f>
        <v/>
      </c>
      <c r="C87" s="9" t="n"/>
      <c r="D87" s="9" t="n"/>
      <c r="E87" s="9" t="n"/>
      <c r="F87" s="9" t="n"/>
      <c r="G87" s="9" t="n"/>
      <c r="H87" s="9" t="n"/>
      <c r="I87" s="9" t="n"/>
      <c r="J87" s="15">
        <f>IF($A87="","",SUM(C87:I87))</f>
        <v/>
      </c>
    </row>
    <row r="88">
      <c r="A88" s="5" t="n"/>
      <c r="B88" s="5">
        <f>IF($A88="","",IFERROR(INDEX('01-Cadastro-Motos'!$B$4:$B$123,MATCH($A88,'01-Cadastro-Motos'!$A$4:$A$123,0)),""))</f>
        <v/>
      </c>
      <c r="C88" s="9" t="n"/>
      <c r="D88" s="9" t="n"/>
      <c r="E88" s="9" t="n"/>
      <c r="F88" s="9" t="n"/>
      <c r="G88" s="9" t="n"/>
      <c r="H88" s="9" t="n"/>
      <c r="I88" s="9" t="n"/>
      <c r="J88" s="15">
        <f>IF($A88="","",SUM(C88:I88))</f>
        <v/>
      </c>
    </row>
    <row r="89">
      <c r="A89" s="5" t="n"/>
      <c r="B89" s="5">
        <f>IF($A89="","",IFERROR(INDEX('01-Cadastro-Motos'!$B$4:$B$123,MATCH($A89,'01-Cadastro-Motos'!$A$4:$A$123,0)),""))</f>
        <v/>
      </c>
      <c r="C89" s="9" t="n"/>
      <c r="D89" s="9" t="n"/>
      <c r="E89" s="9" t="n"/>
      <c r="F89" s="9" t="n"/>
      <c r="G89" s="9" t="n"/>
      <c r="H89" s="9" t="n"/>
      <c r="I89" s="9" t="n"/>
      <c r="J89" s="15">
        <f>IF($A89="","",SUM(C89:I89))</f>
        <v/>
      </c>
    </row>
    <row r="90">
      <c r="A90" s="5" t="n"/>
      <c r="B90" s="5">
        <f>IF($A90="","",IFERROR(INDEX('01-Cadastro-Motos'!$B$4:$B$123,MATCH($A90,'01-Cadastro-Motos'!$A$4:$A$123,0)),""))</f>
        <v/>
      </c>
      <c r="C90" s="9" t="n"/>
      <c r="D90" s="9" t="n"/>
      <c r="E90" s="9" t="n"/>
      <c r="F90" s="9" t="n"/>
      <c r="G90" s="9" t="n"/>
      <c r="H90" s="9" t="n"/>
      <c r="I90" s="9" t="n"/>
      <c r="J90" s="15">
        <f>IF($A90="","",SUM(C90:I90))</f>
        <v/>
      </c>
    </row>
    <row r="91">
      <c r="A91" s="5" t="n"/>
      <c r="B91" s="5">
        <f>IF($A91="","",IFERROR(INDEX('01-Cadastro-Motos'!$B$4:$B$123,MATCH($A91,'01-Cadastro-Motos'!$A$4:$A$123,0)),""))</f>
        <v/>
      </c>
      <c r="C91" s="9" t="n"/>
      <c r="D91" s="9" t="n"/>
      <c r="E91" s="9" t="n"/>
      <c r="F91" s="9" t="n"/>
      <c r="G91" s="9" t="n"/>
      <c r="H91" s="9" t="n"/>
      <c r="I91" s="9" t="n"/>
      <c r="J91" s="15">
        <f>IF($A91="","",SUM(C91:I91))</f>
        <v/>
      </c>
    </row>
    <row r="92">
      <c r="A92" s="5" t="n"/>
      <c r="B92" s="5">
        <f>IF($A92="","",IFERROR(INDEX('01-Cadastro-Motos'!$B$4:$B$123,MATCH($A92,'01-Cadastro-Motos'!$A$4:$A$123,0)),""))</f>
        <v/>
      </c>
      <c r="C92" s="9" t="n"/>
      <c r="D92" s="9" t="n"/>
      <c r="E92" s="9" t="n"/>
      <c r="F92" s="9" t="n"/>
      <c r="G92" s="9" t="n"/>
      <c r="H92" s="9" t="n"/>
      <c r="I92" s="9" t="n"/>
      <c r="J92" s="15">
        <f>IF($A92="","",SUM(C92:I92))</f>
        <v/>
      </c>
    </row>
    <row r="93">
      <c r="A93" s="5" t="n"/>
      <c r="B93" s="5">
        <f>IF($A93="","",IFERROR(INDEX('01-Cadastro-Motos'!$B$4:$B$123,MATCH($A93,'01-Cadastro-Motos'!$A$4:$A$123,0)),""))</f>
        <v/>
      </c>
      <c r="C93" s="9" t="n"/>
      <c r="D93" s="9" t="n"/>
      <c r="E93" s="9" t="n"/>
      <c r="F93" s="9" t="n"/>
      <c r="G93" s="9" t="n"/>
      <c r="H93" s="9" t="n"/>
      <c r="I93" s="9" t="n"/>
      <c r="J93" s="15">
        <f>IF($A93="","",SUM(C93:I93))</f>
        <v/>
      </c>
    </row>
    <row r="94">
      <c r="A94" s="5" t="n"/>
      <c r="B94" s="5">
        <f>IF($A94="","",IFERROR(INDEX('01-Cadastro-Motos'!$B$4:$B$123,MATCH($A94,'01-Cadastro-Motos'!$A$4:$A$123,0)),""))</f>
        <v/>
      </c>
      <c r="C94" s="9" t="n"/>
      <c r="D94" s="9" t="n"/>
      <c r="E94" s="9" t="n"/>
      <c r="F94" s="9" t="n"/>
      <c r="G94" s="9" t="n"/>
      <c r="H94" s="9" t="n"/>
      <c r="I94" s="9" t="n"/>
      <c r="J94" s="15">
        <f>IF($A94="","",SUM(C94:I94))</f>
        <v/>
      </c>
    </row>
    <row r="95">
      <c r="A95" s="5" t="n"/>
      <c r="B95" s="5">
        <f>IF($A95="","",IFERROR(INDEX('01-Cadastro-Motos'!$B$4:$B$123,MATCH($A95,'01-Cadastro-Motos'!$A$4:$A$123,0)),""))</f>
        <v/>
      </c>
      <c r="C95" s="9" t="n"/>
      <c r="D95" s="9" t="n"/>
      <c r="E95" s="9" t="n"/>
      <c r="F95" s="9" t="n"/>
      <c r="G95" s="9" t="n"/>
      <c r="H95" s="9" t="n"/>
      <c r="I95" s="9" t="n"/>
      <c r="J95" s="15">
        <f>IF($A95="","",SUM(C95:I95))</f>
        <v/>
      </c>
    </row>
    <row r="96">
      <c r="A96" s="5" t="n"/>
      <c r="B96" s="5">
        <f>IF($A96="","",IFERROR(INDEX('01-Cadastro-Motos'!$B$4:$B$123,MATCH($A96,'01-Cadastro-Motos'!$A$4:$A$123,0)),""))</f>
        <v/>
      </c>
      <c r="C96" s="9" t="n"/>
      <c r="D96" s="9" t="n"/>
      <c r="E96" s="9" t="n"/>
      <c r="F96" s="9" t="n"/>
      <c r="G96" s="9" t="n"/>
      <c r="H96" s="9" t="n"/>
      <c r="I96" s="9" t="n"/>
      <c r="J96" s="15">
        <f>IF($A96="","",SUM(C96:I96))</f>
        <v/>
      </c>
    </row>
    <row r="97">
      <c r="A97" s="5" t="n"/>
      <c r="B97" s="5">
        <f>IF($A97="","",IFERROR(INDEX('01-Cadastro-Motos'!$B$4:$B$123,MATCH($A97,'01-Cadastro-Motos'!$A$4:$A$123,0)),""))</f>
        <v/>
      </c>
      <c r="C97" s="9" t="n"/>
      <c r="D97" s="9" t="n"/>
      <c r="E97" s="9" t="n"/>
      <c r="F97" s="9" t="n"/>
      <c r="G97" s="9" t="n"/>
      <c r="H97" s="9" t="n"/>
      <c r="I97" s="9" t="n"/>
      <c r="J97" s="15">
        <f>IF($A97="","",SUM(C97:I97))</f>
        <v/>
      </c>
    </row>
    <row r="98">
      <c r="A98" s="5" t="n"/>
      <c r="B98" s="5">
        <f>IF($A98="","",IFERROR(INDEX('01-Cadastro-Motos'!$B$4:$B$123,MATCH($A98,'01-Cadastro-Motos'!$A$4:$A$123,0)),""))</f>
        <v/>
      </c>
      <c r="C98" s="9" t="n"/>
      <c r="D98" s="9" t="n"/>
      <c r="E98" s="9" t="n"/>
      <c r="F98" s="9" t="n"/>
      <c r="G98" s="9" t="n"/>
      <c r="H98" s="9" t="n"/>
      <c r="I98" s="9" t="n"/>
      <c r="J98" s="15">
        <f>IF($A98="","",SUM(C98:I98))</f>
        <v/>
      </c>
    </row>
    <row r="99">
      <c r="A99" s="5" t="n"/>
      <c r="B99" s="5">
        <f>IF($A99="","",IFERROR(INDEX('01-Cadastro-Motos'!$B$4:$B$123,MATCH($A99,'01-Cadastro-Motos'!$A$4:$A$123,0)),""))</f>
        <v/>
      </c>
      <c r="C99" s="9" t="n"/>
      <c r="D99" s="9" t="n"/>
      <c r="E99" s="9" t="n"/>
      <c r="F99" s="9" t="n"/>
      <c r="G99" s="9" t="n"/>
      <c r="H99" s="9" t="n"/>
      <c r="I99" s="9" t="n"/>
      <c r="J99" s="15">
        <f>IF($A99="","",SUM(C99:I99))</f>
        <v/>
      </c>
    </row>
    <row r="100">
      <c r="A100" s="5" t="n"/>
      <c r="B100" s="5">
        <f>IF($A100="","",IFERROR(INDEX('01-Cadastro-Motos'!$B$4:$B$123,MATCH($A100,'01-Cadastro-Motos'!$A$4:$A$123,0)),""))</f>
        <v/>
      </c>
      <c r="C100" s="9" t="n"/>
      <c r="D100" s="9" t="n"/>
      <c r="E100" s="9" t="n"/>
      <c r="F100" s="9" t="n"/>
      <c r="G100" s="9" t="n"/>
      <c r="H100" s="9" t="n"/>
      <c r="I100" s="9" t="n"/>
      <c r="J100" s="15">
        <f>IF($A100="","",SUM(C100:I100))</f>
        <v/>
      </c>
    </row>
    <row r="101">
      <c r="A101" s="5" t="n"/>
      <c r="B101" s="5">
        <f>IF($A101="","",IFERROR(INDEX('01-Cadastro-Motos'!$B$4:$B$123,MATCH($A101,'01-Cadastro-Motos'!$A$4:$A$123,0)),""))</f>
        <v/>
      </c>
      <c r="C101" s="9" t="n"/>
      <c r="D101" s="9" t="n"/>
      <c r="E101" s="9" t="n"/>
      <c r="F101" s="9" t="n"/>
      <c r="G101" s="9" t="n"/>
      <c r="H101" s="9" t="n"/>
      <c r="I101" s="9" t="n"/>
      <c r="J101" s="15">
        <f>IF($A101="","",SUM(C101:I101))</f>
        <v/>
      </c>
    </row>
    <row r="102">
      <c r="A102" s="5" t="n"/>
      <c r="B102" s="5">
        <f>IF($A102="","",IFERROR(INDEX('01-Cadastro-Motos'!$B$4:$B$123,MATCH($A102,'01-Cadastro-Motos'!$A$4:$A$123,0)),""))</f>
        <v/>
      </c>
      <c r="C102" s="9" t="n"/>
      <c r="D102" s="9" t="n"/>
      <c r="E102" s="9" t="n"/>
      <c r="F102" s="9" t="n"/>
      <c r="G102" s="9" t="n"/>
      <c r="H102" s="9" t="n"/>
      <c r="I102" s="9" t="n"/>
      <c r="J102" s="15">
        <f>IF($A102="","",SUM(C102:I102))</f>
        <v/>
      </c>
    </row>
    <row r="103">
      <c r="A103" s="5" t="n"/>
      <c r="B103" s="5">
        <f>IF($A103="","",IFERROR(INDEX('01-Cadastro-Motos'!$B$4:$B$123,MATCH($A103,'01-Cadastro-Motos'!$A$4:$A$123,0)),""))</f>
        <v/>
      </c>
      <c r="C103" s="9" t="n"/>
      <c r="D103" s="9" t="n"/>
      <c r="E103" s="9" t="n"/>
      <c r="F103" s="9" t="n"/>
      <c r="G103" s="9" t="n"/>
      <c r="H103" s="9" t="n"/>
      <c r="I103" s="9" t="n"/>
      <c r="J103" s="15">
        <f>IF($A103="","",SUM(C103:I103))</f>
        <v/>
      </c>
    </row>
    <row r="104">
      <c r="A104" s="5" t="n"/>
      <c r="B104" s="5">
        <f>IF($A104="","",IFERROR(INDEX('01-Cadastro-Motos'!$B$4:$B$123,MATCH($A104,'01-Cadastro-Motos'!$A$4:$A$123,0)),""))</f>
        <v/>
      </c>
      <c r="C104" s="9" t="n"/>
      <c r="D104" s="9" t="n"/>
      <c r="E104" s="9" t="n"/>
      <c r="F104" s="9" t="n"/>
      <c r="G104" s="9" t="n"/>
      <c r="H104" s="9" t="n"/>
      <c r="I104" s="9" t="n"/>
      <c r="J104" s="15">
        <f>IF($A104="","",SUM(C104:I104))</f>
        <v/>
      </c>
    </row>
    <row r="105">
      <c r="A105" s="5" t="n"/>
      <c r="B105" s="5">
        <f>IF($A105="","",IFERROR(INDEX('01-Cadastro-Motos'!$B$4:$B$123,MATCH($A105,'01-Cadastro-Motos'!$A$4:$A$123,0)),""))</f>
        <v/>
      </c>
      <c r="C105" s="9" t="n"/>
      <c r="D105" s="9" t="n"/>
      <c r="E105" s="9" t="n"/>
      <c r="F105" s="9" t="n"/>
      <c r="G105" s="9" t="n"/>
      <c r="H105" s="9" t="n"/>
      <c r="I105" s="9" t="n"/>
      <c r="J105" s="15">
        <f>IF($A105="","",SUM(C105:I105))</f>
        <v/>
      </c>
    </row>
    <row r="106">
      <c r="A106" s="5" t="n"/>
      <c r="B106" s="5">
        <f>IF($A106="","",IFERROR(INDEX('01-Cadastro-Motos'!$B$4:$B$123,MATCH($A106,'01-Cadastro-Motos'!$A$4:$A$123,0)),""))</f>
        <v/>
      </c>
      <c r="C106" s="9" t="n"/>
      <c r="D106" s="9" t="n"/>
      <c r="E106" s="9" t="n"/>
      <c r="F106" s="9" t="n"/>
      <c r="G106" s="9" t="n"/>
      <c r="H106" s="9" t="n"/>
      <c r="I106" s="9" t="n"/>
      <c r="J106" s="15">
        <f>IF($A106="","",SUM(C106:I106))</f>
        <v/>
      </c>
    </row>
    <row r="107">
      <c r="A107" s="5" t="n"/>
      <c r="B107" s="5">
        <f>IF($A107="","",IFERROR(INDEX('01-Cadastro-Motos'!$B$4:$B$123,MATCH($A107,'01-Cadastro-Motos'!$A$4:$A$123,0)),""))</f>
        <v/>
      </c>
      <c r="C107" s="9" t="n"/>
      <c r="D107" s="9" t="n"/>
      <c r="E107" s="9" t="n"/>
      <c r="F107" s="9" t="n"/>
      <c r="G107" s="9" t="n"/>
      <c r="H107" s="9" t="n"/>
      <c r="I107" s="9" t="n"/>
      <c r="J107" s="15">
        <f>IF($A107="","",SUM(C107:I107))</f>
        <v/>
      </c>
    </row>
    <row r="108">
      <c r="A108" s="5" t="n"/>
      <c r="B108" s="5">
        <f>IF($A108="","",IFERROR(INDEX('01-Cadastro-Motos'!$B$4:$B$123,MATCH($A108,'01-Cadastro-Motos'!$A$4:$A$123,0)),""))</f>
        <v/>
      </c>
      <c r="C108" s="9" t="n"/>
      <c r="D108" s="9" t="n"/>
      <c r="E108" s="9" t="n"/>
      <c r="F108" s="9" t="n"/>
      <c r="G108" s="9" t="n"/>
      <c r="H108" s="9" t="n"/>
      <c r="I108" s="9" t="n"/>
      <c r="J108" s="15">
        <f>IF($A108="","",SUM(C108:I108))</f>
        <v/>
      </c>
    </row>
    <row r="109">
      <c r="A109" s="5" t="n"/>
      <c r="B109" s="5">
        <f>IF($A109="","",IFERROR(INDEX('01-Cadastro-Motos'!$B$4:$B$123,MATCH($A109,'01-Cadastro-Motos'!$A$4:$A$123,0)),""))</f>
        <v/>
      </c>
      <c r="C109" s="9" t="n"/>
      <c r="D109" s="9" t="n"/>
      <c r="E109" s="9" t="n"/>
      <c r="F109" s="9" t="n"/>
      <c r="G109" s="9" t="n"/>
      <c r="H109" s="9" t="n"/>
      <c r="I109" s="9" t="n"/>
      <c r="J109" s="15">
        <f>IF($A109="","",SUM(C109:I109))</f>
        <v/>
      </c>
    </row>
    <row r="110">
      <c r="A110" s="5" t="n"/>
      <c r="B110" s="5">
        <f>IF($A110="","",IFERROR(INDEX('01-Cadastro-Motos'!$B$4:$B$123,MATCH($A110,'01-Cadastro-Motos'!$A$4:$A$123,0)),""))</f>
        <v/>
      </c>
      <c r="C110" s="9" t="n"/>
      <c r="D110" s="9" t="n"/>
      <c r="E110" s="9" t="n"/>
      <c r="F110" s="9" t="n"/>
      <c r="G110" s="9" t="n"/>
      <c r="H110" s="9" t="n"/>
      <c r="I110" s="9" t="n"/>
      <c r="J110" s="15">
        <f>IF($A110="","",SUM(C110:I110))</f>
        <v/>
      </c>
    </row>
    <row r="111">
      <c r="A111" s="5" t="n"/>
      <c r="B111" s="5">
        <f>IF($A111="","",IFERROR(INDEX('01-Cadastro-Motos'!$B$4:$B$123,MATCH($A111,'01-Cadastro-Motos'!$A$4:$A$123,0)),""))</f>
        <v/>
      </c>
      <c r="C111" s="9" t="n"/>
      <c r="D111" s="9" t="n"/>
      <c r="E111" s="9" t="n"/>
      <c r="F111" s="9" t="n"/>
      <c r="G111" s="9" t="n"/>
      <c r="H111" s="9" t="n"/>
      <c r="I111" s="9" t="n"/>
      <c r="J111" s="15">
        <f>IF($A111="","",SUM(C111:I111))</f>
        <v/>
      </c>
    </row>
    <row r="112">
      <c r="A112" s="5" t="n"/>
      <c r="B112" s="5">
        <f>IF($A112="","",IFERROR(INDEX('01-Cadastro-Motos'!$B$4:$B$123,MATCH($A112,'01-Cadastro-Motos'!$A$4:$A$123,0)),""))</f>
        <v/>
      </c>
      <c r="C112" s="9" t="n"/>
      <c r="D112" s="9" t="n"/>
      <c r="E112" s="9" t="n"/>
      <c r="F112" s="9" t="n"/>
      <c r="G112" s="9" t="n"/>
      <c r="H112" s="9" t="n"/>
      <c r="I112" s="9" t="n"/>
      <c r="J112" s="15">
        <f>IF($A112="","",SUM(C112:I112))</f>
        <v/>
      </c>
    </row>
    <row r="113">
      <c r="A113" s="5" t="n"/>
      <c r="B113" s="5">
        <f>IF($A113="","",IFERROR(INDEX('01-Cadastro-Motos'!$B$4:$B$123,MATCH($A113,'01-Cadastro-Motos'!$A$4:$A$123,0)),""))</f>
        <v/>
      </c>
      <c r="C113" s="9" t="n"/>
      <c r="D113" s="9" t="n"/>
      <c r="E113" s="9" t="n"/>
      <c r="F113" s="9" t="n"/>
      <c r="G113" s="9" t="n"/>
      <c r="H113" s="9" t="n"/>
      <c r="I113" s="9" t="n"/>
      <c r="J113" s="15">
        <f>IF($A113="","",SUM(C113:I113))</f>
        <v/>
      </c>
    </row>
    <row r="114">
      <c r="A114" s="5" t="n"/>
      <c r="B114" s="5">
        <f>IF($A114="","",IFERROR(INDEX('01-Cadastro-Motos'!$B$4:$B$123,MATCH($A114,'01-Cadastro-Motos'!$A$4:$A$123,0)),""))</f>
        <v/>
      </c>
      <c r="C114" s="9" t="n"/>
      <c r="D114" s="9" t="n"/>
      <c r="E114" s="9" t="n"/>
      <c r="F114" s="9" t="n"/>
      <c r="G114" s="9" t="n"/>
      <c r="H114" s="9" t="n"/>
      <c r="I114" s="9" t="n"/>
      <c r="J114" s="15">
        <f>IF($A114="","",SUM(C114:I114))</f>
        <v/>
      </c>
    </row>
    <row r="115">
      <c r="A115" s="5" t="n"/>
      <c r="B115" s="5">
        <f>IF($A115="","",IFERROR(INDEX('01-Cadastro-Motos'!$B$4:$B$123,MATCH($A115,'01-Cadastro-Motos'!$A$4:$A$123,0)),""))</f>
        <v/>
      </c>
      <c r="C115" s="9" t="n"/>
      <c r="D115" s="9" t="n"/>
      <c r="E115" s="9" t="n"/>
      <c r="F115" s="9" t="n"/>
      <c r="G115" s="9" t="n"/>
      <c r="H115" s="9" t="n"/>
      <c r="I115" s="9" t="n"/>
      <c r="J115" s="15">
        <f>IF($A115="","",SUM(C115:I115))</f>
        <v/>
      </c>
    </row>
    <row r="116">
      <c r="A116" s="5" t="n"/>
      <c r="B116" s="5">
        <f>IF($A116="","",IFERROR(INDEX('01-Cadastro-Motos'!$B$4:$B$123,MATCH($A116,'01-Cadastro-Motos'!$A$4:$A$123,0)),""))</f>
        <v/>
      </c>
      <c r="C116" s="9" t="n"/>
      <c r="D116" s="9" t="n"/>
      <c r="E116" s="9" t="n"/>
      <c r="F116" s="9" t="n"/>
      <c r="G116" s="9" t="n"/>
      <c r="H116" s="9" t="n"/>
      <c r="I116" s="9" t="n"/>
      <c r="J116" s="15">
        <f>IF($A116="","",SUM(C116:I116))</f>
        <v/>
      </c>
    </row>
    <row r="117">
      <c r="A117" s="5" t="n"/>
      <c r="B117" s="5">
        <f>IF($A117="","",IFERROR(INDEX('01-Cadastro-Motos'!$B$4:$B$123,MATCH($A117,'01-Cadastro-Motos'!$A$4:$A$123,0)),""))</f>
        <v/>
      </c>
      <c r="C117" s="9" t="n"/>
      <c r="D117" s="9" t="n"/>
      <c r="E117" s="9" t="n"/>
      <c r="F117" s="9" t="n"/>
      <c r="G117" s="9" t="n"/>
      <c r="H117" s="9" t="n"/>
      <c r="I117" s="9" t="n"/>
      <c r="J117" s="15">
        <f>IF($A117="","",SUM(C117:I117))</f>
        <v/>
      </c>
    </row>
    <row r="118">
      <c r="A118" s="5" t="n"/>
      <c r="B118" s="5">
        <f>IF($A118="","",IFERROR(INDEX('01-Cadastro-Motos'!$B$4:$B$123,MATCH($A118,'01-Cadastro-Motos'!$A$4:$A$123,0)),""))</f>
        <v/>
      </c>
      <c r="C118" s="9" t="n"/>
      <c r="D118" s="9" t="n"/>
      <c r="E118" s="9" t="n"/>
      <c r="F118" s="9" t="n"/>
      <c r="G118" s="9" t="n"/>
      <c r="H118" s="9" t="n"/>
      <c r="I118" s="9" t="n"/>
      <c r="J118" s="15">
        <f>IF($A118="","",SUM(C118:I118))</f>
        <v/>
      </c>
    </row>
    <row r="119">
      <c r="A119" s="5" t="n"/>
      <c r="B119" s="5">
        <f>IF($A119="","",IFERROR(INDEX('01-Cadastro-Motos'!$B$4:$B$123,MATCH($A119,'01-Cadastro-Motos'!$A$4:$A$123,0)),""))</f>
        <v/>
      </c>
      <c r="C119" s="9" t="n"/>
      <c r="D119" s="9" t="n"/>
      <c r="E119" s="9" t="n"/>
      <c r="F119" s="9" t="n"/>
      <c r="G119" s="9" t="n"/>
      <c r="H119" s="9" t="n"/>
      <c r="I119" s="9" t="n"/>
      <c r="J119" s="15">
        <f>IF($A119="","",SUM(C119:I119))</f>
        <v/>
      </c>
    </row>
    <row r="120">
      <c r="A120" s="5" t="n"/>
      <c r="B120" s="5">
        <f>IF($A120="","",IFERROR(INDEX('01-Cadastro-Motos'!$B$4:$B$123,MATCH($A120,'01-Cadastro-Motos'!$A$4:$A$123,0)),""))</f>
        <v/>
      </c>
      <c r="C120" s="9" t="n"/>
      <c r="D120" s="9" t="n"/>
      <c r="E120" s="9" t="n"/>
      <c r="F120" s="9" t="n"/>
      <c r="G120" s="9" t="n"/>
      <c r="H120" s="9" t="n"/>
      <c r="I120" s="9" t="n"/>
      <c r="J120" s="15">
        <f>IF($A120="","",SUM(C120:I120))</f>
        <v/>
      </c>
    </row>
    <row r="121">
      <c r="A121" s="5" t="n"/>
      <c r="B121" s="5">
        <f>IF($A121="","",IFERROR(INDEX('01-Cadastro-Motos'!$B$4:$B$123,MATCH($A121,'01-Cadastro-Motos'!$A$4:$A$123,0)),""))</f>
        <v/>
      </c>
      <c r="C121" s="9" t="n"/>
      <c r="D121" s="9" t="n"/>
      <c r="E121" s="9" t="n"/>
      <c r="F121" s="9" t="n"/>
      <c r="G121" s="9" t="n"/>
      <c r="H121" s="9" t="n"/>
      <c r="I121" s="9" t="n"/>
      <c r="J121" s="15">
        <f>IF($A121="","",SUM(C121:I121))</f>
        <v/>
      </c>
    </row>
    <row r="122">
      <c r="A122" s="5" t="n"/>
      <c r="B122" s="5">
        <f>IF($A122="","",IFERROR(INDEX('01-Cadastro-Motos'!$B$4:$B$123,MATCH($A122,'01-Cadastro-Motos'!$A$4:$A$123,0)),""))</f>
        <v/>
      </c>
      <c r="C122" s="9" t="n"/>
      <c r="D122" s="9" t="n"/>
      <c r="E122" s="9" t="n"/>
      <c r="F122" s="9" t="n"/>
      <c r="G122" s="9" t="n"/>
      <c r="H122" s="9" t="n"/>
      <c r="I122" s="9" t="n"/>
      <c r="J122" s="15">
        <f>IF($A122="","",SUM(C122:I122))</f>
        <v/>
      </c>
    </row>
    <row r="123">
      <c r="A123" s="5" t="n"/>
      <c r="B123" s="5">
        <f>IF($A123="","",IFERROR(INDEX('01-Cadastro-Motos'!$B$4:$B$123,MATCH($A123,'01-Cadastro-Motos'!$A$4:$A$123,0)),""))</f>
        <v/>
      </c>
      <c r="C123" s="9" t="n"/>
      <c r="D123" s="9" t="n"/>
      <c r="E123" s="9" t="n"/>
      <c r="F123" s="9" t="n"/>
      <c r="G123" s="9" t="n"/>
      <c r="H123" s="9" t="n"/>
      <c r="I123" s="9" t="n"/>
      <c r="J123" s="15">
        <f>IF($A123="","",SUM(C123:I123))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3"/>
  <sheetViews>
    <sheetView workbookViewId="0">
      <pane ySplit="3" topLeftCell="A4" activePane="bottomLeft" state="frozen"/>
      <selection pane="bottomLeft" activeCell="A1" sqref="A1"/>
    </sheetView>
  </sheetViews>
  <sheetFormatPr baseColWidth="8" defaultRowHeight="15" outlineLevelCol="0"/>
  <cols>
    <col width="12" customWidth="1" min="1" max="1"/>
    <col width="22" customWidth="1" min="2" max="2"/>
    <col width="14" customWidth="1" min="3" max="3"/>
    <col width="12" customWidth="1" min="4" max="4"/>
    <col width="10" customWidth="1" min="5" max="5"/>
    <col width="14" customWidth="1" min="6" max="6"/>
    <col width="10" customWidth="1" min="7" max="7"/>
    <col width="10" customWidth="1" min="8" max="8"/>
    <col width="12" customWidth="1" min="9" max="9"/>
  </cols>
  <sheetData>
    <row r="1">
      <c r="A1" s="1" t="inlineStr">
        <is>
          <t>Marketing por Motocicleta / Campanha</t>
        </is>
      </c>
    </row>
    <row r="3">
      <c r="A3" s="4" t="inlineStr">
        <is>
          <t>ID Moto</t>
        </is>
      </c>
      <c r="B3" s="4" t="inlineStr">
        <is>
          <t>Modelo (auto)</t>
        </is>
      </c>
      <c r="C3" s="4" t="inlineStr">
        <is>
          <t>Verba Investida Real (R$)</t>
        </is>
      </c>
      <c r="D3" s="4" t="inlineStr">
        <is>
          <t>Leads Gerados</t>
        </is>
      </c>
      <c r="E3" s="4" t="inlineStr">
        <is>
          <t>Cliques</t>
        </is>
      </c>
      <c r="F3" s="4" t="inlineStr">
        <is>
          <t>Vendas Atribuídas</t>
        </is>
      </c>
      <c r="G3" s="4" t="inlineStr">
        <is>
          <t>CPL (R$)</t>
        </is>
      </c>
      <c r="H3" s="4" t="inlineStr">
        <is>
          <t>CPC (R$)</t>
        </is>
      </c>
      <c r="I3" s="4" t="inlineStr">
        <is>
          <t>CAC (R$)</t>
        </is>
      </c>
    </row>
    <row r="4">
      <c r="A4" s="5" t="inlineStr">
        <is>
          <t>MOTO-001</t>
        </is>
      </c>
      <c r="B4" s="5">
        <f>IF($A4="","",IFERROR(INDEX('01-Cadastro-Motos'!$B$4:$B$123,MATCH($A4,'01-Cadastro-Motos'!$A$4:$A$123,0)),""))</f>
        <v/>
      </c>
      <c r="C4" s="9" t="n">
        <v>120</v>
      </c>
      <c r="D4" s="16" t="n">
        <v>18</v>
      </c>
      <c r="E4" s="16" t="n">
        <v>340</v>
      </c>
      <c r="F4" s="16" t="n">
        <v>1</v>
      </c>
      <c r="G4" s="15">
        <f>IF(OR($A4="",$D4=0),"",$C4/$D4)</f>
        <v/>
      </c>
      <c r="H4" s="15">
        <f>IF(OR($A4="",$E4=0),"",$C4/$E4)</f>
        <v/>
      </c>
      <c r="I4" s="15">
        <f>IF(OR($A4="",$F4=0),"",$C4/$F4)</f>
        <v/>
      </c>
    </row>
    <row r="5">
      <c r="A5" s="5" t="inlineStr">
        <is>
          <t>MOTO-002</t>
        </is>
      </c>
      <c r="B5" s="5">
        <f>IF($A5="","",IFERROR(INDEX('01-Cadastro-Motos'!$B$4:$B$123,MATCH($A5,'01-Cadastro-Motos'!$A$4:$A$123,0)),""))</f>
        <v/>
      </c>
      <c r="C5" s="9" t="n">
        <v>0</v>
      </c>
      <c r="D5" s="16" t="n">
        <v>0</v>
      </c>
      <c r="E5" s="16" t="n">
        <v>0</v>
      </c>
      <c r="F5" s="16" t="n">
        <v>0</v>
      </c>
      <c r="G5" s="15">
        <f>IF(OR($A5="",$D5=0),"",$C5/$D5)</f>
        <v/>
      </c>
      <c r="H5" s="15">
        <f>IF(OR($A5="",$E5=0),"",$C5/$E5)</f>
        <v/>
      </c>
      <c r="I5" s="15">
        <f>IF(OR($A5="",$F5=0),"",$C5/$F5)</f>
        <v/>
      </c>
    </row>
    <row r="6">
      <c r="A6" s="5" t="n"/>
      <c r="B6" s="5">
        <f>IF($A6="","",IFERROR(INDEX('01-Cadastro-Motos'!$B$4:$B$123,MATCH($A6,'01-Cadastro-Motos'!$A$4:$A$123,0)),""))</f>
        <v/>
      </c>
      <c r="C6" s="9" t="n"/>
      <c r="D6" s="16" t="n"/>
      <c r="E6" s="16" t="n"/>
      <c r="F6" s="16" t="n"/>
      <c r="G6" s="15">
        <f>IF(OR($A6="",$D6=0),"",$C6/$D6)</f>
        <v/>
      </c>
      <c r="H6" s="15">
        <f>IF(OR($A6="",$E6=0),"",$C6/$E6)</f>
        <v/>
      </c>
      <c r="I6" s="15">
        <f>IF(OR($A6="",$F6=0),"",$C6/$F6)</f>
        <v/>
      </c>
    </row>
    <row r="7">
      <c r="A7" s="5" t="n"/>
      <c r="B7" s="5">
        <f>IF($A7="","",IFERROR(INDEX('01-Cadastro-Motos'!$B$4:$B$123,MATCH($A7,'01-Cadastro-Motos'!$A$4:$A$123,0)),""))</f>
        <v/>
      </c>
      <c r="C7" s="9" t="n"/>
      <c r="D7" s="16" t="n"/>
      <c r="E7" s="16" t="n"/>
      <c r="F7" s="16" t="n"/>
      <c r="G7" s="15">
        <f>IF(OR($A7="",$D7=0),"",$C7/$D7)</f>
        <v/>
      </c>
      <c r="H7" s="15">
        <f>IF(OR($A7="",$E7=0),"",$C7/$E7)</f>
        <v/>
      </c>
      <c r="I7" s="15">
        <f>IF(OR($A7="",$F7=0),"",$C7/$F7)</f>
        <v/>
      </c>
    </row>
    <row r="8">
      <c r="A8" s="5" t="n"/>
      <c r="B8" s="5">
        <f>IF($A8="","",IFERROR(INDEX('01-Cadastro-Motos'!$B$4:$B$123,MATCH($A8,'01-Cadastro-Motos'!$A$4:$A$123,0)),""))</f>
        <v/>
      </c>
      <c r="C8" s="9" t="n"/>
      <c r="D8" s="16" t="n"/>
      <c r="E8" s="16" t="n"/>
      <c r="F8" s="16" t="n"/>
      <c r="G8" s="15">
        <f>IF(OR($A8="",$D8=0),"",$C8/$D8)</f>
        <v/>
      </c>
      <c r="H8" s="15">
        <f>IF(OR($A8="",$E8=0),"",$C8/$E8)</f>
        <v/>
      </c>
      <c r="I8" s="15">
        <f>IF(OR($A8="",$F8=0),"",$C8/$F8)</f>
        <v/>
      </c>
    </row>
    <row r="9">
      <c r="A9" s="5" t="n"/>
      <c r="B9" s="5">
        <f>IF($A9="","",IFERROR(INDEX('01-Cadastro-Motos'!$B$4:$B$123,MATCH($A9,'01-Cadastro-Motos'!$A$4:$A$123,0)),""))</f>
        <v/>
      </c>
      <c r="C9" s="9" t="n"/>
      <c r="D9" s="16" t="n"/>
      <c r="E9" s="16" t="n"/>
      <c r="F9" s="16" t="n"/>
      <c r="G9" s="15">
        <f>IF(OR($A9="",$D9=0),"",$C9/$D9)</f>
        <v/>
      </c>
      <c r="H9" s="15">
        <f>IF(OR($A9="",$E9=0),"",$C9/$E9)</f>
        <v/>
      </c>
      <c r="I9" s="15">
        <f>IF(OR($A9="",$F9=0),"",$C9/$F9)</f>
        <v/>
      </c>
    </row>
    <row r="10">
      <c r="A10" s="5" t="n"/>
      <c r="B10" s="5">
        <f>IF($A10="","",IFERROR(INDEX('01-Cadastro-Motos'!$B$4:$B$123,MATCH($A10,'01-Cadastro-Motos'!$A$4:$A$123,0)),""))</f>
        <v/>
      </c>
      <c r="C10" s="9" t="n"/>
      <c r="D10" s="16" t="n"/>
      <c r="E10" s="16" t="n"/>
      <c r="F10" s="16" t="n"/>
      <c r="G10" s="15">
        <f>IF(OR($A10="",$D10=0),"",$C10/$D10)</f>
        <v/>
      </c>
      <c r="H10" s="15">
        <f>IF(OR($A10="",$E10=0),"",$C10/$E10)</f>
        <v/>
      </c>
      <c r="I10" s="15">
        <f>IF(OR($A10="",$F10=0),"",$C10/$F10)</f>
        <v/>
      </c>
    </row>
    <row r="11">
      <c r="A11" s="5" t="n"/>
      <c r="B11" s="5">
        <f>IF($A11="","",IFERROR(INDEX('01-Cadastro-Motos'!$B$4:$B$123,MATCH($A11,'01-Cadastro-Motos'!$A$4:$A$123,0)),""))</f>
        <v/>
      </c>
      <c r="C11" s="9" t="n"/>
      <c r="D11" s="16" t="n"/>
      <c r="E11" s="16" t="n"/>
      <c r="F11" s="16" t="n"/>
      <c r="G11" s="15">
        <f>IF(OR($A11="",$D11=0),"",$C11/$D11)</f>
        <v/>
      </c>
      <c r="H11" s="15">
        <f>IF(OR($A11="",$E11=0),"",$C11/$E11)</f>
        <v/>
      </c>
      <c r="I11" s="15">
        <f>IF(OR($A11="",$F11=0),"",$C11/$F11)</f>
        <v/>
      </c>
    </row>
    <row r="12">
      <c r="A12" s="5" t="n"/>
      <c r="B12" s="5">
        <f>IF($A12="","",IFERROR(INDEX('01-Cadastro-Motos'!$B$4:$B$123,MATCH($A12,'01-Cadastro-Motos'!$A$4:$A$123,0)),""))</f>
        <v/>
      </c>
      <c r="C12" s="9" t="n"/>
      <c r="D12" s="16" t="n"/>
      <c r="E12" s="16" t="n"/>
      <c r="F12" s="16" t="n"/>
      <c r="G12" s="15">
        <f>IF(OR($A12="",$D12=0),"",$C12/$D12)</f>
        <v/>
      </c>
      <c r="H12" s="15">
        <f>IF(OR($A12="",$E12=0),"",$C12/$E12)</f>
        <v/>
      </c>
      <c r="I12" s="15">
        <f>IF(OR($A12="",$F12=0),"",$C12/$F12)</f>
        <v/>
      </c>
    </row>
    <row r="13">
      <c r="A13" s="5" t="n"/>
      <c r="B13" s="5">
        <f>IF($A13="","",IFERROR(INDEX('01-Cadastro-Motos'!$B$4:$B$123,MATCH($A13,'01-Cadastro-Motos'!$A$4:$A$123,0)),""))</f>
        <v/>
      </c>
      <c r="C13" s="9" t="n"/>
      <c r="D13" s="16" t="n"/>
      <c r="E13" s="16" t="n"/>
      <c r="F13" s="16" t="n"/>
      <c r="G13" s="15">
        <f>IF(OR($A13="",$D13=0),"",$C13/$D13)</f>
        <v/>
      </c>
      <c r="H13" s="15">
        <f>IF(OR($A13="",$E13=0),"",$C13/$E13)</f>
        <v/>
      </c>
      <c r="I13" s="15">
        <f>IF(OR($A13="",$F13=0),"",$C13/$F13)</f>
        <v/>
      </c>
    </row>
    <row r="14">
      <c r="A14" s="5" t="n"/>
      <c r="B14" s="5">
        <f>IF($A14="","",IFERROR(INDEX('01-Cadastro-Motos'!$B$4:$B$123,MATCH($A14,'01-Cadastro-Motos'!$A$4:$A$123,0)),""))</f>
        <v/>
      </c>
      <c r="C14" s="9" t="n"/>
      <c r="D14" s="16" t="n"/>
      <c r="E14" s="16" t="n"/>
      <c r="F14" s="16" t="n"/>
      <c r="G14" s="15">
        <f>IF(OR($A14="",$D14=0),"",$C14/$D14)</f>
        <v/>
      </c>
      <c r="H14" s="15">
        <f>IF(OR($A14="",$E14=0),"",$C14/$E14)</f>
        <v/>
      </c>
      <c r="I14" s="15">
        <f>IF(OR($A14="",$F14=0),"",$C14/$F14)</f>
        <v/>
      </c>
    </row>
    <row r="15">
      <c r="A15" s="5" t="n"/>
      <c r="B15" s="5">
        <f>IF($A15="","",IFERROR(INDEX('01-Cadastro-Motos'!$B$4:$B$123,MATCH($A15,'01-Cadastro-Motos'!$A$4:$A$123,0)),""))</f>
        <v/>
      </c>
      <c r="C15" s="9" t="n"/>
      <c r="D15" s="16" t="n"/>
      <c r="E15" s="16" t="n"/>
      <c r="F15" s="16" t="n"/>
      <c r="G15" s="15">
        <f>IF(OR($A15="",$D15=0),"",$C15/$D15)</f>
        <v/>
      </c>
      <c r="H15" s="15">
        <f>IF(OR($A15="",$E15=0),"",$C15/$E15)</f>
        <v/>
      </c>
      <c r="I15" s="15">
        <f>IF(OR($A15="",$F15=0),"",$C15/$F15)</f>
        <v/>
      </c>
    </row>
    <row r="16">
      <c r="A16" s="5" t="n"/>
      <c r="B16" s="5">
        <f>IF($A16="","",IFERROR(INDEX('01-Cadastro-Motos'!$B$4:$B$123,MATCH($A16,'01-Cadastro-Motos'!$A$4:$A$123,0)),""))</f>
        <v/>
      </c>
      <c r="C16" s="9" t="n"/>
      <c r="D16" s="16" t="n"/>
      <c r="E16" s="16" t="n"/>
      <c r="F16" s="16" t="n"/>
      <c r="G16" s="15">
        <f>IF(OR($A16="",$D16=0),"",$C16/$D16)</f>
        <v/>
      </c>
      <c r="H16" s="15">
        <f>IF(OR($A16="",$E16=0),"",$C16/$E16)</f>
        <v/>
      </c>
      <c r="I16" s="15">
        <f>IF(OR($A16="",$F16=0),"",$C16/$F16)</f>
        <v/>
      </c>
    </row>
    <row r="17">
      <c r="A17" s="5" t="n"/>
      <c r="B17" s="5">
        <f>IF($A17="","",IFERROR(INDEX('01-Cadastro-Motos'!$B$4:$B$123,MATCH($A17,'01-Cadastro-Motos'!$A$4:$A$123,0)),""))</f>
        <v/>
      </c>
      <c r="C17" s="9" t="n"/>
      <c r="D17" s="16" t="n"/>
      <c r="E17" s="16" t="n"/>
      <c r="F17" s="16" t="n"/>
      <c r="G17" s="15">
        <f>IF(OR($A17="",$D17=0),"",$C17/$D17)</f>
        <v/>
      </c>
      <c r="H17" s="15">
        <f>IF(OR($A17="",$E17=0),"",$C17/$E17)</f>
        <v/>
      </c>
      <c r="I17" s="15">
        <f>IF(OR($A17="",$F17=0),"",$C17/$F17)</f>
        <v/>
      </c>
    </row>
    <row r="18">
      <c r="A18" s="5" t="n"/>
      <c r="B18" s="5">
        <f>IF($A18="","",IFERROR(INDEX('01-Cadastro-Motos'!$B$4:$B$123,MATCH($A18,'01-Cadastro-Motos'!$A$4:$A$123,0)),""))</f>
        <v/>
      </c>
      <c r="C18" s="9" t="n"/>
      <c r="D18" s="16" t="n"/>
      <c r="E18" s="16" t="n"/>
      <c r="F18" s="16" t="n"/>
      <c r="G18" s="15">
        <f>IF(OR($A18="",$D18=0),"",$C18/$D18)</f>
        <v/>
      </c>
      <c r="H18" s="15">
        <f>IF(OR($A18="",$E18=0),"",$C18/$E18)</f>
        <v/>
      </c>
      <c r="I18" s="15">
        <f>IF(OR($A18="",$F18=0),"",$C18/$F18)</f>
        <v/>
      </c>
    </row>
    <row r="19">
      <c r="A19" s="5" t="n"/>
      <c r="B19" s="5">
        <f>IF($A19="","",IFERROR(INDEX('01-Cadastro-Motos'!$B$4:$B$123,MATCH($A19,'01-Cadastro-Motos'!$A$4:$A$123,0)),""))</f>
        <v/>
      </c>
      <c r="C19" s="9" t="n"/>
      <c r="D19" s="16" t="n"/>
      <c r="E19" s="16" t="n"/>
      <c r="F19" s="16" t="n"/>
      <c r="G19" s="15">
        <f>IF(OR($A19="",$D19=0),"",$C19/$D19)</f>
        <v/>
      </c>
      <c r="H19" s="15">
        <f>IF(OR($A19="",$E19=0),"",$C19/$E19)</f>
        <v/>
      </c>
      <c r="I19" s="15">
        <f>IF(OR($A19="",$F19=0),"",$C19/$F19)</f>
        <v/>
      </c>
    </row>
    <row r="20">
      <c r="A20" s="5" t="n"/>
      <c r="B20" s="5">
        <f>IF($A20="","",IFERROR(INDEX('01-Cadastro-Motos'!$B$4:$B$123,MATCH($A20,'01-Cadastro-Motos'!$A$4:$A$123,0)),""))</f>
        <v/>
      </c>
      <c r="C20" s="9" t="n"/>
      <c r="D20" s="16" t="n"/>
      <c r="E20" s="16" t="n"/>
      <c r="F20" s="16" t="n"/>
      <c r="G20" s="15">
        <f>IF(OR($A20="",$D20=0),"",$C20/$D20)</f>
        <v/>
      </c>
      <c r="H20" s="15">
        <f>IF(OR($A20="",$E20=0),"",$C20/$E20)</f>
        <v/>
      </c>
      <c r="I20" s="15">
        <f>IF(OR($A20="",$F20=0),"",$C20/$F20)</f>
        <v/>
      </c>
    </row>
    <row r="21">
      <c r="A21" s="5" t="n"/>
      <c r="B21" s="5">
        <f>IF($A21="","",IFERROR(INDEX('01-Cadastro-Motos'!$B$4:$B$123,MATCH($A21,'01-Cadastro-Motos'!$A$4:$A$123,0)),""))</f>
        <v/>
      </c>
      <c r="C21" s="9" t="n"/>
      <c r="D21" s="16" t="n"/>
      <c r="E21" s="16" t="n"/>
      <c r="F21" s="16" t="n"/>
      <c r="G21" s="15">
        <f>IF(OR($A21="",$D21=0),"",$C21/$D21)</f>
        <v/>
      </c>
      <c r="H21" s="15">
        <f>IF(OR($A21="",$E21=0),"",$C21/$E21)</f>
        <v/>
      </c>
      <c r="I21" s="15">
        <f>IF(OR($A21="",$F21=0),"",$C21/$F21)</f>
        <v/>
      </c>
    </row>
    <row r="22">
      <c r="A22" s="5" t="n"/>
      <c r="B22" s="5">
        <f>IF($A22="","",IFERROR(INDEX('01-Cadastro-Motos'!$B$4:$B$123,MATCH($A22,'01-Cadastro-Motos'!$A$4:$A$123,0)),""))</f>
        <v/>
      </c>
      <c r="C22" s="9" t="n"/>
      <c r="D22" s="16" t="n"/>
      <c r="E22" s="16" t="n"/>
      <c r="F22" s="16" t="n"/>
      <c r="G22" s="15">
        <f>IF(OR($A22="",$D22=0),"",$C22/$D22)</f>
        <v/>
      </c>
      <c r="H22" s="15">
        <f>IF(OR($A22="",$E22=0),"",$C22/$E22)</f>
        <v/>
      </c>
      <c r="I22" s="15">
        <f>IF(OR($A22="",$F22=0),"",$C22/$F22)</f>
        <v/>
      </c>
    </row>
    <row r="23">
      <c r="A23" s="5" t="n"/>
      <c r="B23" s="5">
        <f>IF($A23="","",IFERROR(INDEX('01-Cadastro-Motos'!$B$4:$B$123,MATCH($A23,'01-Cadastro-Motos'!$A$4:$A$123,0)),""))</f>
        <v/>
      </c>
      <c r="C23" s="9" t="n"/>
      <c r="D23" s="16" t="n"/>
      <c r="E23" s="16" t="n"/>
      <c r="F23" s="16" t="n"/>
      <c r="G23" s="15">
        <f>IF(OR($A23="",$D23=0),"",$C23/$D23)</f>
        <v/>
      </c>
      <c r="H23" s="15">
        <f>IF(OR($A23="",$E23=0),"",$C23/$E23)</f>
        <v/>
      </c>
      <c r="I23" s="15">
        <f>IF(OR($A23="",$F23=0),"",$C23/$F23)</f>
        <v/>
      </c>
    </row>
    <row r="24">
      <c r="A24" s="5" t="n"/>
      <c r="B24" s="5">
        <f>IF($A24="","",IFERROR(INDEX('01-Cadastro-Motos'!$B$4:$B$123,MATCH($A24,'01-Cadastro-Motos'!$A$4:$A$123,0)),""))</f>
        <v/>
      </c>
      <c r="C24" s="9" t="n"/>
      <c r="D24" s="16" t="n"/>
      <c r="E24" s="16" t="n"/>
      <c r="F24" s="16" t="n"/>
      <c r="G24" s="15">
        <f>IF(OR($A24="",$D24=0),"",$C24/$D24)</f>
        <v/>
      </c>
      <c r="H24" s="15">
        <f>IF(OR($A24="",$E24=0),"",$C24/$E24)</f>
        <v/>
      </c>
      <c r="I24" s="15">
        <f>IF(OR($A24="",$F24=0),"",$C24/$F24)</f>
        <v/>
      </c>
    </row>
    <row r="25">
      <c r="A25" s="5" t="n"/>
      <c r="B25" s="5">
        <f>IF($A25="","",IFERROR(INDEX('01-Cadastro-Motos'!$B$4:$B$123,MATCH($A25,'01-Cadastro-Motos'!$A$4:$A$123,0)),""))</f>
        <v/>
      </c>
      <c r="C25" s="9" t="n"/>
      <c r="D25" s="16" t="n"/>
      <c r="E25" s="16" t="n"/>
      <c r="F25" s="16" t="n"/>
      <c r="G25" s="15">
        <f>IF(OR($A25="",$D25=0),"",$C25/$D25)</f>
        <v/>
      </c>
      <c r="H25" s="15">
        <f>IF(OR($A25="",$E25=0),"",$C25/$E25)</f>
        <v/>
      </c>
      <c r="I25" s="15">
        <f>IF(OR($A25="",$F25=0),"",$C25/$F25)</f>
        <v/>
      </c>
    </row>
    <row r="26">
      <c r="A26" s="5" t="n"/>
      <c r="B26" s="5">
        <f>IF($A26="","",IFERROR(INDEX('01-Cadastro-Motos'!$B$4:$B$123,MATCH($A26,'01-Cadastro-Motos'!$A$4:$A$123,0)),""))</f>
        <v/>
      </c>
      <c r="C26" s="9" t="n"/>
      <c r="D26" s="16" t="n"/>
      <c r="E26" s="16" t="n"/>
      <c r="F26" s="16" t="n"/>
      <c r="G26" s="15">
        <f>IF(OR($A26="",$D26=0),"",$C26/$D26)</f>
        <v/>
      </c>
      <c r="H26" s="15">
        <f>IF(OR($A26="",$E26=0),"",$C26/$E26)</f>
        <v/>
      </c>
      <c r="I26" s="15">
        <f>IF(OR($A26="",$F26=0),"",$C26/$F26)</f>
        <v/>
      </c>
    </row>
    <row r="27">
      <c r="A27" s="5" t="n"/>
      <c r="B27" s="5">
        <f>IF($A27="","",IFERROR(INDEX('01-Cadastro-Motos'!$B$4:$B$123,MATCH($A27,'01-Cadastro-Motos'!$A$4:$A$123,0)),""))</f>
        <v/>
      </c>
      <c r="C27" s="9" t="n"/>
      <c r="D27" s="16" t="n"/>
      <c r="E27" s="16" t="n"/>
      <c r="F27" s="16" t="n"/>
      <c r="G27" s="15">
        <f>IF(OR($A27="",$D27=0),"",$C27/$D27)</f>
        <v/>
      </c>
      <c r="H27" s="15">
        <f>IF(OR($A27="",$E27=0),"",$C27/$E27)</f>
        <v/>
      </c>
      <c r="I27" s="15">
        <f>IF(OR($A27="",$F27=0),"",$C27/$F27)</f>
        <v/>
      </c>
    </row>
    <row r="28">
      <c r="A28" s="5" t="n"/>
      <c r="B28" s="5">
        <f>IF($A28="","",IFERROR(INDEX('01-Cadastro-Motos'!$B$4:$B$123,MATCH($A28,'01-Cadastro-Motos'!$A$4:$A$123,0)),""))</f>
        <v/>
      </c>
      <c r="C28" s="9" t="n"/>
      <c r="D28" s="16" t="n"/>
      <c r="E28" s="16" t="n"/>
      <c r="F28" s="16" t="n"/>
      <c r="G28" s="15">
        <f>IF(OR($A28="",$D28=0),"",$C28/$D28)</f>
        <v/>
      </c>
      <c r="H28" s="15">
        <f>IF(OR($A28="",$E28=0),"",$C28/$E28)</f>
        <v/>
      </c>
      <c r="I28" s="15">
        <f>IF(OR($A28="",$F28=0),"",$C28/$F28)</f>
        <v/>
      </c>
    </row>
    <row r="29">
      <c r="A29" s="5" t="n"/>
      <c r="B29" s="5">
        <f>IF($A29="","",IFERROR(INDEX('01-Cadastro-Motos'!$B$4:$B$123,MATCH($A29,'01-Cadastro-Motos'!$A$4:$A$123,0)),""))</f>
        <v/>
      </c>
      <c r="C29" s="9" t="n"/>
      <c r="D29" s="16" t="n"/>
      <c r="E29" s="16" t="n"/>
      <c r="F29" s="16" t="n"/>
      <c r="G29" s="15">
        <f>IF(OR($A29="",$D29=0),"",$C29/$D29)</f>
        <v/>
      </c>
      <c r="H29" s="15">
        <f>IF(OR($A29="",$E29=0),"",$C29/$E29)</f>
        <v/>
      </c>
      <c r="I29" s="15">
        <f>IF(OR($A29="",$F29=0),"",$C29/$F29)</f>
        <v/>
      </c>
    </row>
    <row r="30">
      <c r="A30" s="5" t="n"/>
      <c r="B30" s="5">
        <f>IF($A30="","",IFERROR(INDEX('01-Cadastro-Motos'!$B$4:$B$123,MATCH($A30,'01-Cadastro-Motos'!$A$4:$A$123,0)),""))</f>
        <v/>
      </c>
      <c r="C30" s="9" t="n"/>
      <c r="D30" s="16" t="n"/>
      <c r="E30" s="16" t="n"/>
      <c r="F30" s="16" t="n"/>
      <c r="G30" s="15">
        <f>IF(OR($A30="",$D30=0),"",$C30/$D30)</f>
        <v/>
      </c>
      <c r="H30" s="15">
        <f>IF(OR($A30="",$E30=0),"",$C30/$E30)</f>
        <v/>
      </c>
      <c r="I30" s="15">
        <f>IF(OR($A30="",$F30=0),"",$C30/$F30)</f>
        <v/>
      </c>
    </row>
    <row r="31">
      <c r="A31" s="5" t="n"/>
      <c r="B31" s="5">
        <f>IF($A31="","",IFERROR(INDEX('01-Cadastro-Motos'!$B$4:$B$123,MATCH($A31,'01-Cadastro-Motos'!$A$4:$A$123,0)),""))</f>
        <v/>
      </c>
      <c r="C31" s="9" t="n"/>
      <c r="D31" s="16" t="n"/>
      <c r="E31" s="16" t="n"/>
      <c r="F31" s="16" t="n"/>
      <c r="G31" s="15">
        <f>IF(OR($A31="",$D31=0),"",$C31/$D31)</f>
        <v/>
      </c>
      <c r="H31" s="15">
        <f>IF(OR($A31="",$E31=0),"",$C31/$E31)</f>
        <v/>
      </c>
      <c r="I31" s="15">
        <f>IF(OR($A31="",$F31=0),"",$C31/$F31)</f>
        <v/>
      </c>
    </row>
    <row r="32">
      <c r="A32" s="5" t="n"/>
      <c r="B32" s="5">
        <f>IF($A32="","",IFERROR(INDEX('01-Cadastro-Motos'!$B$4:$B$123,MATCH($A32,'01-Cadastro-Motos'!$A$4:$A$123,0)),""))</f>
        <v/>
      </c>
      <c r="C32" s="9" t="n"/>
      <c r="D32" s="16" t="n"/>
      <c r="E32" s="16" t="n"/>
      <c r="F32" s="16" t="n"/>
      <c r="G32" s="15">
        <f>IF(OR($A32="",$D32=0),"",$C32/$D32)</f>
        <v/>
      </c>
      <c r="H32" s="15">
        <f>IF(OR($A32="",$E32=0),"",$C32/$E32)</f>
        <v/>
      </c>
      <c r="I32" s="15">
        <f>IF(OR($A32="",$F32=0),"",$C32/$F32)</f>
        <v/>
      </c>
    </row>
    <row r="33">
      <c r="A33" s="5" t="n"/>
      <c r="B33" s="5">
        <f>IF($A33="","",IFERROR(INDEX('01-Cadastro-Motos'!$B$4:$B$123,MATCH($A33,'01-Cadastro-Motos'!$A$4:$A$123,0)),""))</f>
        <v/>
      </c>
      <c r="C33" s="9" t="n"/>
      <c r="D33" s="16" t="n"/>
      <c r="E33" s="16" t="n"/>
      <c r="F33" s="16" t="n"/>
      <c r="G33" s="15">
        <f>IF(OR($A33="",$D33=0),"",$C33/$D33)</f>
        <v/>
      </c>
      <c r="H33" s="15">
        <f>IF(OR($A33="",$E33=0),"",$C33/$E33)</f>
        <v/>
      </c>
      <c r="I33" s="15">
        <f>IF(OR($A33="",$F33=0),"",$C33/$F33)</f>
        <v/>
      </c>
    </row>
    <row r="34">
      <c r="A34" s="5" t="n"/>
      <c r="B34" s="5">
        <f>IF($A34="","",IFERROR(INDEX('01-Cadastro-Motos'!$B$4:$B$123,MATCH($A34,'01-Cadastro-Motos'!$A$4:$A$123,0)),""))</f>
        <v/>
      </c>
      <c r="C34" s="9" t="n"/>
      <c r="D34" s="16" t="n"/>
      <c r="E34" s="16" t="n"/>
      <c r="F34" s="16" t="n"/>
      <c r="G34" s="15">
        <f>IF(OR($A34="",$D34=0),"",$C34/$D34)</f>
        <v/>
      </c>
      <c r="H34" s="15">
        <f>IF(OR($A34="",$E34=0),"",$C34/$E34)</f>
        <v/>
      </c>
      <c r="I34" s="15">
        <f>IF(OR($A34="",$F34=0),"",$C34/$F34)</f>
        <v/>
      </c>
    </row>
    <row r="35">
      <c r="A35" s="5" t="n"/>
      <c r="B35" s="5">
        <f>IF($A35="","",IFERROR(INDEX('01-Cadastro-Motos'!$B$4:$B$123,MATCH($A35,'01-Cadastro-Motos'!$A$4:$A$123,0)),""))</f>
        <v/>
      </c>
      <c r="C35" s="9" t="n"/>
      <c r="D35" s="16" t="n"/>
      <c r="E35" s="16" t="n"/>
      <c r="F35" s="16" t="n"/>
      <c r="G35" s="15">
        <f>IF(OR($A35="",$D35=0),"",$C35/$D35)</f>
        <v/>
      </c>
      <c r="H35" s="15">
        <f>IF(OR($A35="",$E35=0),"",$C35/$E35)</f>
        <v/>
      </c>
      <c r="I35" s="15">
        <f>IF(OR($A35="",$F35=0),"",$C35/$F35)</f>
        <v/>
      </c>
    </row>
    <row r="36">
      <c r="A36" s="5" t="n"/>
      <c r="B36" s="5">
        <f>IF($A36="","",IFERROR(INDEX('01-Cadastro-Motos'!$B$4:$B$123,MATCH($A36,'01-Cadastro-Motos'!$A$4:$A$123,0)),""))</f>
        <v/>
      </c>
      <c r="C36" s="9" t="n"/>
      <c r="D36" s="16" t="n"/>
      <c r="E36" s="16" t="n"/>
      <c r="F36" s="16" t="n"/>
      <c r="G36" s="15">
        <f>IF(OR($A36="",$D36=0),"",$C36/$D36)</f>
        <v/>
      </c>
      <c r="H36" s="15">
        <f>IF(OR($A36="",$E36=0),"",$C36/$E36)</f>
        <v/>
      </c>
      <c r="I36" s="15">
        <f>IF(OR($A36="",$F36=0),"",$C36/$F36)</f>
        <v/>
      </c>
    </row>
    <row r="37">
      <c r="A37" s="5" t="n"/>
      <c r="B37" s="5">
        <f>IF($A37="","",IFERROR(INDEX('01-Cadastro-Motos'!$B$4:$B$123,MATCH($A37,'01-Cadastro-Motos'!$A$4:$A$123,0)),""))</f>
        <v/>
      </c>
      <c r="C37" s="9" t="n"/>
      <c r="D37" s="16" t="n"/>
      <c r="E37" s="16" t="n"/>
      <c r="F37" s="16" t="n"/>
      <c r="G37" s="15">
        <f>IF(OR($A37="",$D37=0),"",$C37/$D37)</f>
        <v/>
      </c>
      <c r="H37" s="15">
        <f>IF(OR($A37="",$E37=0),"",$C37/$E37)</f>
        <v/>
      </c>
      <c r="I37" s="15">
        <f>IF(OR($A37="",$F37=0),"",$C37/$F37)</f>
        <v/>
      </c>
    </row>
    <row r="38">
      <c r="A38" s="5" t="n"/>
      <c r="B38" s="5">
        <f>IF($A38="","",IFERROR(INDEX('01-Cadastro-Motos'!$B$4:$B$123,MATCH($A38,'01-Cadastro-Motos'!$A$4:$A$123,0)),""))</f>
        <v/>
      </c>
      <c r="C38" s="9" t="n"/>
      <c r="D38" s="16" t="n"/>
      <c r="E38" s="16" t="n"/>
      <c r="F38" s="16" t="n"/>
      <c r="G38" s="15">
        <f>IF(OR($A38="",$D38=0),"",$C38/$D38)</f>
        <v/>
      </c>
      <c r="H38" s="15">
        <f>IF(OR($A38="",$E38=0),"",$C38/$E38)</f>
        <v/>
      </c>
      <c r="I38" s="15">
        <f>IF(OR($A38="",$F38=0),"",$C38/$F38)</f>
        <v/>
      </c>
    </row>
    <row r="39">
      <c r="A39" s="5" t="n"/>
      <c r="B39" s="5">
        <f>IF($A39="","",IFERROR(INDEX('01-Cadastro-Motos'!$B$4:$B$123,MATCH($A39,'01-Cadastro-Motos'!$A$4:$A$123,0)),""))</f>
        <v/>
      </c>
      <c r="C39" s="9" t="n"/>
      <c r="D39" s="16" t="n"/>
      <c r="E39" s="16" t="n"/>
      <c r="F39" s="16" t="n"/>
      <c r="G39" s="15">
        <f>IF(OR($A39="",$D39=0),"",$C39/$D39)</f>
        <v/>
      </c>
      <c r="H39" s="15">
        <f>IF(OR($A39="",$E39=0),"",$C39/$E39)</f>
        <v/>
      </c>
      <c r="I39" s="15">
        <f>IF(OR($A39="",$F39=0),"",$C39/$F39)</f>
        <v/>
      </c>
    </row>
    <row r="40">
      <c r="A40" s="5" t="n"/>
      <c r="B40" s="5">
        <f>IF($A40="","",IFERROR(INDEX('01-Cadastro-Motos'!$B$4:$B$123,MATCH($A40,'01-Cadastro-Motos'!$A$4:$A$123,0)),""))</f>
        <v/>
      </c>
      <c r="C40" s="9" t="n"/>
      <c r="D40" s="16" t="n"/>
      <c r="E40" s="16" t="n"/>
      <c r="F40" s="16" t="n"/>
      <c r="G40" s="15">
        <f>IF(OR($A40="",$D40=0),"",$C40/$D40)</f>
        <v/>
      </c>
      <c r="H40" s="15">
        <f>IF(OR($A40="",$E40=0),"",$C40/$E40)</f>
        <v/>
      </c>
      <c r="I40" s="15">
        <f>IF(OR($A40="",$F40=0),"",$C40/$F40)</f>
        <v/>
      </c>
    </row>
    <row r="41">
      <c r="A41" s="5" t="n"/>
      <c r="B41" s="5">
        <f>IF($A41="","",IFERROR(INDEX('01-Cadastro-Motos'!$B$4:$B$123,MATCH($A41,'01-Cadastro-Motos'!$A$4:$A$123,0)),""))</f>
        <v/>
      </c>
      <c r="C41" s="9" t="n"/>
      <c r="D41" s="16" t="n"/>
      <c r="E41" s="16" t="n"/>
      <c r="F41" s="16" t="n"/>
      <c r="G41" s="15">
        <f>IF(OR($A41="",$D41=0),"",$C41/$D41)</f>
        <v/>
      </c>
      <c r="H41" s="15">
        <f>IF(OR($A41="",$E41=0),"",$C41/$E41)</f>
        <v/>
      </c>
      <c r="I41" s="15">
        <f>IF(OR($A41="",$F41=0),"",$C41/$F41)</f>
        <v/>
      </c>
    </row>
    <row r="42">
      <c r="A42" s="5" t="n"/>
      <c r="B42" s="5">
        <f>IF($A42="","",IFERROR(INDEX('01-Cadastro-Motos'!$B$4:$B$123,MATCH($A42,'01-Cadastro-Motos'!$A$4:$A$123,0)),""))</f>
        <v/>
      </c>
      <c r="C42" s="9" t="n"/>
      <c r="D42" s="16" t="n"/>
      <c r="E42" s="16" t="n"/>
      <c r="F42" s="16" t="n"/>
      <c r="G42" s="15">
        <f>IF(OR($A42="",$D42=0),"",$C42/$D42)</f>
        <v/>
      </c>
      <c r="H42" s="15">
        <f>IF(OR($A42="",$E42=0),"",$C42/$E42)</f>
        <v/>
      </c>
      <c r="I42" s="15">
        <f>IF(OR($A42="",$F42=0),"",$C42/$F42)</f>
        <v/>
      </c>
    </row>
    <row r="43">
      <c r="A43" s="5" t="n"/>
      <c r="B43" s="5">
        <f>IF($A43="","",IFERROR(INDEX('01-Cadastro-Motos'!$B$4:$B$123,MATCH($A43,'01-Cadastro-Motos'!$A$4:$A$123,0)),""))</f>
        <v/>
      </c>
      <c r="C43" s="9" t="n"/>
      <c r="D43" s="16" t="n"/>
      <c r="E43" s="16" t="n"/>
      <c r="F43" s="16" t="n"/>
      <c r="G43" s="15">
        <f>IF(OR($A43="",$D43=0),"",$C43/$D43)</f>
        <v/>
      </c>
      <c r="H43" s="15">
        <f>IF(OR($A43="",$E43=0),"",$C43/$E43)</f>
        <v/>
      </c>
      <c r="I43" s="15">
        <f>IF(OR($A43="",$F43=0),"",$C43/$F43)</f>
        <v/>
      </c>
    </row>
    <row r="44">
      <c r="A44" s="5" t="n"/>
      <c r="B44" s="5">
        <f>IF($A44="","",IFERROR(INDEX('01-Cadastro-Motos'!$B$4:$B$123,MATCH($A44,'01-Cadastro-Motos'!$A$4:$A$123,0)),""))</f>
        <v/>
      </c>
      <c r="C44" s="9" t="n"/>
      <c r="D44" s="16" t="n"/>
      <c r="E44" s="16" t="n"/>
      <c r="F44" s="16" t="n"/>
      <c r="G44" s="15">
        <f>IF(OR($A44="",$D44=0),"",$C44/$D44)</f>
        <v/>
      </c>
      <c r="H44" s="15">
        <f>IF(OR($A44="",$E44=0),"",$C44/$E44)</f>
        <v/>
      </c>
      <c r="I44" s="15">
        <f>IF(OR($A44="",$F44=0),"",$C44/$F44)</f>
        <v/>
      </c>
    </row>
    <row r="45">
      <c r="A45" s="5" t="n"/>
      <c r="B45" s="5">
        <f>IF($A45="","",IFERROR(INDEX('01-Cadastro-Motos'!$B$4:$B$123,MATCH($A45,'01-Cadastro-Motos'!$A$4:$A$123,0)),""))</f>
        <v/>
      </c>
      <c r="C45" s="9" t="n"/>
      <c r="D45" s="16" t="n"/>
      <c r="E45" s="16" t="n"/>
      <c r="F45" s="16" t="n"/>
      <c r="G45" s="15">
        <f>IF(OR($A45="",$D45=0),"",$C45/$D45)</f>
        <v/>
      </c>
      <c r="H45" s="15">
        <f>IF(OR($A45="",$E45=0),"",$C45/$E45)</f>
        <v/>
      </c>
      <c r="I45" s="15">
        <f>IF(OR($A45="",$F45=0),"",$C45/$F45)</f>
        <v/>
      </c>
    </row>
    <row r="46">
      <c r="A46" s="5" t="n"/>
      <c r="B46" s="5">
        <f>IF($A46="","",IFERROR(INDEX('01-Cadastro-Motos'!$B$4:$B$123,MATCH($A46,'01-Cadastro-Motos'!$A$4:$A$123,0)),""))</f>
        <v/>
      </c>
      <c r="C46" s="9" t="n"/>
      <c r="D46" s="16" t="n"/>
      <c r="E46" s="16" t="n"/>
      <c r="F46" s="16" t="n"/>
      <c r="G46" s="15">
        <f>IF(OR($A46="",$D46=0),"",$C46/$D46)</f>
        <v/>
      </c>
      <c r="H46" s="15">
        <f>IF(OR($A46="",$E46=0),"",$C46/$E46)</f>
        <v/>
      </c>
      <c r="I46" s="15">
        <f>IF(OR($A46="",$F46=0),"",$C46/$F46)</f>
        <v/>
      </c>
    </row>
    <row r="47">
      <c r="A47" s="5" t="n"/>
      <c r="B47" s="5">
        <f>IF($A47="","",IFERROR(INDEX('01-Cadastro-Motos'!$B$4:$B$123,MATCH($A47,'01-Cadastro-Motos'!$A$4:$A$123,0)),""))</f>
        <v/>
      </c>
      <c r="C47" s="9" t="n"/>
      <c r="D47" s="16" t="n"/>
      <c r="E47" s="16" t="n"/>
      <c r="F47" s="16" t="n"/>
      <c r="G47" s="15">
        <f>IF(OR($A47="",$D47=0),"",$C47/$D47)</f>
        <v/>
      </c>
      <c r="H47" s="15">
        <f>IF(OR($A47="",$E47=0),"",$C47/$E47)</f>
        <v/>
      </c>
      <c r="I47" s="15">
        <f>IF(OR($A47="",$F47=0),"",$C47/$F47)</f>
        <v/>
      </c>
    </row>
    <row r="48">
      <c r="A48" s="5" t="n"/>
      <c r="B48" s="5">
        <f>IF($A48="","",IFERROR(INDEX('01-Cadastro-Motos'!$B$4:$B$123,MATCH($A48,'01-Cadastro-Motos'!$A$4:$A$123,0)),""))</f>
        <v/>
      </c>
      <c r="C48" s="9" t="n"/>
      <c r="D48" s="16" t="n"/>
      <c r="E48" s="16" t="n"/>
      <c r="F48" s="16" t="n"/>
      <c r="G48" s="15">
        <f>IF(OR($A48="",$D48=0),"",$C48/$D48)</f>
        <v/>
      </c>
      <c r="H48" s="15">
        <f>IF(OR($A48="",$E48=0),"",$C48/$E48)</f>
        <v/>
      </c>
      <c r="I48" s="15">
        <f>IF(OR($A48="",$F48=0),"",$C48/$F48)</f>
        <v/>
      </c>
    </row>
    <row r="49">
      <c r="A49" s="5" t="n"/>
      <c r="B49" s="5">
        <f>IF($A49="","",IFERROR(INDEX('01-Cadastro-Motos'!$B$4:$B$123,MATCH($A49,'01-Cadastro-Motos'!$A$4:$A$123,0)),""))</f>
        <v/>
      </c>
      <c r="C49" s="9" t="n"/>
      <c r="D49" s="16" t="n"/>
      <c r="E49" s="16" t="n"/>
      <c r="F49" s="16" t="n"/>
      <c r="G49" s="15">
        <f>IF(OR($A49="",$D49=0),"",$C49/$D49)</f>
        <v/>
      </c>
      <c r="H49" s="15">
        <f>IF(OR($A49="",$E49=0),"",$C49/$E49)</f>
        <v/>
      </c>
      <c r="I49" s="15">
        <f>IF(OR($A49="",$F49=0),"",$C49/$F49)</f>
        <v/>
      </c>
    </row>
    <row r="50">
      <c r="A50" s="5" t="n"/>
      <c r="B50" s="5">
        <f>IF($A50="","",IFERROR(INDEX('01-Cadastro-Motos'!$B$4:$B$123,MATCH($A50,'01-Cadastro-Motos'!$A$4:$A$123,0)),""))</f>
        <v/>
      </c>
      <c r="C50" s="9" t="n"/>
      <c r="D50" s="16" t="n"/>
      <c r="E50" s="16" t="n"/>
      <c r="F50" s="16" t="n"/>
      <c r="G50" s="15">
        <f>IF(OR($A50="",$D50=0),"",$C50/$D50)</f>
        <v/>
      </c>
      <c r="H50" s="15">
        <f>IF(OR($A50="",$E50=0),"",$C50/$E50)</f>
        <v/>
      </c>
      <c r="I50" s="15">
        <f>IF(OR($A50="",$F50=0),"",$C50/$F50)</f>
        <v/>
      </c>
    </row>
    <row r="51">
      <c r="A51" s="5" t="n"/>
      <c r="B51" s="5">
        <f>IF($A51="","",IFERROR(INDEX('01-Cadastro-Motos'!$B$4:$B$123,MATCH($A51,'01-Cadastro-Motos'!$A$4:$A$123,0)),""))</f>
        <v/>
      </c>
      <c r="C51" s="9" t="n"/>
      <c r="D51" s="16" t="n"/>
      <c r="E51" s="16" t="n"/>
      <c r="F51" s="16" t="n"/>
      <c r="G51" s="15">
        <f>IF(OR($A51="",$D51=0),"",$C51/$D51)</f>
        <v/>
      </c>
      <c r="H51" s="15">
        <f>IF(OR($A51="",$E51=0),"",$C51/$E51)</f>
        <v/>
      </c>
      <c r="I51" s="15">
        <f>IF(OR($A51="",$F51=0),"",$C51/$F51)</f>
        <v/>
      </c>
    </row>
    <row r="52">
      <c r="A52" s="5" t="n"/>
      <c r="B52" s="5">
        <f>IF($A52="","",IFERROR(INDEX('01-Cadastro-Motos'!$B$4:$B$123,MATCH($A52,'01-Cadastro-Motos'!$A$4:$A$123,0)),""))</f>
        <v/>
      </c>
      <c r="C52" s="9" t="n"/>
      <c r="D52" s="16" t="n"/>
      <c r="E52" s="16" t="n"/>
      <c r="F52" s="16" t="n"/>
      <c r="G52" s="15">
        <f>IF(OR($A52="",$D52=0),"",$C52/$D52)</f>
        <v/>
      </c>
      <c r="H52" s="15">
        <f>IF(OR($A52="",$E52=0),"",$C52/$E52)</f>
        <v/>
      </c>
      <c r="I52" s="15">
        <f>IF(OR($A52="",$F52=0),"",$C52/$F52)</f>
        <v/>
      </c>
    </row>
    <row r="53">
      <c r="A53" s="5" t="n"/>
      <c r="B53" s="5">
        <f>IF($A53="","",IFERROR(INDEX('01-Cadastro-Motos'!$B$4:$B$123,MATCH($A53,'01-Cadastro-Motos'!$A$4:$A$123,0)),""))</f>
        <v/>
      </c>
      <c r="C53" s="9" t="n"/>
      <c r="D53" s="16" t="n"/>
      <c r="E53" s="16" t="n"/>
      <c r="F53" s="16" t="n"/>
      <c r="G53" s="15">
        <f>IF(OR($A53="",$D53=0),"",$C53/$D53)</f>
        <v/>
      </c>
      <c r="H53" s="15">
        <f>IF(OR($A53="",$E53=0),"",$C53/$E53)</f>
        <v/>
      </c>
      <c r="I53" s="15">
        <f>IF(OR($A53="",$F53=0),"",$C53/$F53)</f>
        <v/>
      </c>
    </row>
    <row r="54">
      <c r="A54" s="5" t="n"/>
      <c r="B54" s="5">
        <f>IF($A54="","",IFERROR(INDEX('01-Cadastro-Motos'!$B$4:$B$123,MATCH($A54,'01-Cadastro-Motos'!$A$4:$A$123,0)),""))</f>
        <v/>
      </c>
      <c r="C54" s="9" t="n"/>
      <c r="D54" s="16" t="n"/>
      <c r="E54" s="16" t="n"/>
      <c r="F54" s="16" t="n"/>
      <c r="G54" s="15">
        <f>IF(OR($A54="",$D54=0),"",$C54/$D54)</f>
        <v/>
      </c>
      <c r="H54" s="15">
        <f>IF(OR($A54="",$E54=0),"",$C54/$E54)</f>
        <v/>
      </c>
      <c r="I54" s="15">
        <f>IF(OR($A54="",$F54=0),"",$C54/$F54)</f>
        <v/>
      </c>
    </row>
    <row r="55">
      <c r="A55" s="5" t="n"/>
      <c r="B55" s="5">
        <f>IF($A55="","",IFERROR(INDEX('01-Cadastro-Motos'!$B$4:$B$123,MATCH($A55,'01-Cadastro-Motos'!$A$4:$A$123,0)),""))</f>
        <v/>
      </c>
      <c r="C55" s="9" t="n"/>
      <c r="D55" s="16" t="n"/>
      <c r="E55" s="16" t="n"/>
      <c r="F55" s="16" t="n"/>
      <c r="G55" s="15">
        <f>IF(OR($A55="",$D55=0),"",$C55/$D55)</f>
        <v/>
      </c>
      <c r="H55" s="15">
        <f>IF(OR($A55="",$E55=0),"",$C55/$E55)</f>
        <v/>
      </c>
      <c r="I55" s="15">
        <f>IF(OR($A55="",$F55=0),"",$C55/$F55)</f>
        <v/>
      </c>
    </row>
    <row r="56">
      <c r="A56" s="5" t="n"/>
      <c r="B56" s="5">
        <f>IF($A56="","",IFERROR(INDEX('01-Cadastro-Motos'!$B$4:$B$123,MATCH($A56,'01-Cadastro-Motos'!$A$4:$A$123,0)),""))</f>
        <v/>
      </c>
      <c r="C56" s="9" t="n"/>
      <c r="D56" s="16" t="n"/>
      <c r="E56" s="16" t="n"/>
      <c r="F56" s="16" t="n"/>
      <c r="G56" s="15">
        <f>IF(OR($A56="",$D56=0),"",$C56/$D56)</f>
        <v/>
      </c>
      <c r="H56" s="15">
        <f>IF(OR($A56="",$E56=0),"",$C56/$E56)</f>
        <v/>
      </c>
      <c r="I56" s="15">
        <f>IF(OR($A56="",$F56=0),"",$C56/$F56)</f>
        <v/>
      </c>
    </row>
    <row r="57">
      <c r="A57" s="5" t="n"/>
      <c r="B57" s="5">
        <f>IF($A57="","",IFERROR(INDEX('01-Cadastro-Motos'!$B$4:$B$123,MATCH($A57,'01-Cadastro-Motos'!$A$4:$A$123,0)),""))</f>
        <v/>
      </c>
      <c r="C57" s="9" t="n"/>
      <c r="D57" s="16" t="n"/>
      <c r="E57" s="16" t="n"/>
      <c r="F57" s="16" t="n"/>
      <c r="G57" s="15">
        <f>IF(OR($A57="",$D57=0),"",$C57/$D57)</f>
        <v/>
      </c>
      <c r="H57" s="15">
        <f>IF(OR($A57="",$E57=0),"",$C57/$E57)</f>
        <v/>
      </c>
      <c r="I57" s="15">
        <f>IF(OR($A57="",$F57=0),"",$C57/$F57)</f>
        <v/>
      </c>
    </row>
    <row r="58">
      <c r="A58" s="5" t="n"/>
      <c r="B58" s="5">
        <f>IF($A58="","",IFERROR(INDEX('01-Cadastro-Motos'!$B$4:$B$123,MATCH($A58,'01-Cadastro-Motos'!$A$4:$A$123,0)),""))</f>
        <v/>
      </c>
      <c r="C58" s="9" t="n"/>
      <c r="D58" s="16" t="n"/>
      <c r="E58" s="16" t="n"/>
      <c r="F58" s="16" t="n"/>
      <c r="G58" s="15">
        <f>IF(OR($A58="",$D58=0),"",$C58/$D58)</f>
        <v/>
      </c>
      <c r="H58" s="15">
        <f>IF(OR($A58="",$E58=0),"",$C58/$E58)</f>
        <v/>
      </c>
      <c r="I58" s="15">
        <f>IF(OR($A58="",$F58=0),"",$C58/$F58)</f>
        <v/>
      </c>
    </row>
    <row r="59">
      <c r="A59" s="5" t="n"/>
      <c r="B59" s="5">
        <f>IF($A59="","",IFERROR(INDEX('01-Cadastro-Motos'!$B$4:$B$123,MATCH($A59,'01-Cadastro-Motos'!$A$4:$A$123,0)),""))</f>
        <v/>
      </c>
      <c r="C59" s="9" t="n"/>
      <c r="D59" s="16" t="n"/>
      <c r="E59" s="16" t="n"/>
      <c r="F59" s="16" t="n"/>
      <c r="G59" s="15">
        <f>IF(OR($A59="",$D59=0),"",$C59/$D59)</f>
        <v/>
      </c>
      <c r="H59" s="15">
        <f>IF(OR($A59="",$E59=0),"",$C59/$E59)</f>
        <v/>
      </c>
      <c r="I59" s="15">
        <f>IF(OR($A59="",$F59=0),"",$C59/$F59)</f>
        <v/>
      </c>
    </row>
    <row r="60">
      <c r="A60" s="5" t="n"/>
      <c r="B60" s="5">
        <f>IF($A60="","",IFERROR(INDEX('01-Cadastro-Motos'!$B$4:$B$123,MATCH($A60,'01-Cadastro-Motos'!$A$4:$A$123,0)),""))</f>
        <v/>
      </c>
      <c r="C60" s="9" t="n"/>
      <c r="D60" s="16" t="n"/>
      <c r="E60" s="16" t="n"/>
      <c r="F60" s="16" t="n"/>
      <c r="G60" s="15">
        <f>IF(OR($A60="",$D60=0),"",$C60/$D60)</f>
        <v/>
      </c>
      <c r="H60" s="15">
        <f>IF(OR($A60="",$E60=0),"",$C60/$E60)</f>
        <v/>
      </c>
      <c r="I60" s="15">
        <f>IF(OR($A60="",$F60=0),"",$C60/$F60)</f>
        <v/>
      </c>
    </row>
    <row r="61">
      <c r="A61" s="5" t="n"/>
      <c r="B61" s="5">
        <f>IF($A61="","",IFERROR(INDEX('01-Cadastro-Motos'!$B$4:$B$123,MATCH($A61,'01-Cadastro-Motos'!$A$4:$A$123,0)),""))</f>
        <v/>
      </c>
      <c r="C61" s="9" t="n"/>
      <c r="D61" s="16" t="n"/>
      <c r="E61" s="16" t="n"/>
      <c r="F61" s="16" t="n"/>
      <c r="G61" s="15">
        <f>IF(OR($A61="",$D61=0),"",$C61/$D61)</f>
        <v/>
      </c>
      <c r="H61" s="15">
        <f>IF(OR($A61="",$E61=0),"",$C61/$E61)</f>
        <v/>
      </c>
      <c r="I61" s="15">
        <f>IF(OR($A61="",$F61=0),"",$C61/$F61)</f>
        <v/>
      </c>
    </row>
    <row r="62">
      <c r="A62" s="5" t="n"/>
      <c r="B62" s="5">
        <f>IF($A62="","",IFERROR(INDEX('01-Cadastro-Motos'!$B$4:$B$123,MATCH($A62,'01-Cadastro-Motos'!$A$4:$A$123,0)),""))</f>
        <v/>
      </c>
      <c r="C62" s="9" t="n"/>
      <c r="D62" s="16" t="n"/>
      <c r="E62" s="16" t="n"/>
      <c r="F62" s="16" t="n"/>
      <c r="G62" s="15">
        <f>IF(OR($A62="",$D62=0),"",$C62/$D62)</f>
        <v/>
      </c>
      <c r="H62" s="15">
        <f>IF(OR($A62="",$E62=0),"",$C62/$E62)</f>
        <v/>
      </c>
      <c r="I62" s="15">
        <f>IF(OR($A62="",$F62=0),"",$C62/$F62)</f>
        <v/>
      </c>
    </row>
    <row r="63">
      <c r="A63" s="5" t="n"/>
      <c r="B63" s="5">
        <f>IF($A63="","",IFERROR(INDEX('01-Cadastro-Motos'!$B$4:$B$123,MATCH($A63,'01-Cadastro-Motos'!$A$4:$A$123,0)),""))</f>
        <v/>
      </c>
      <c r="C63" s="9" t="n"/>
      <c r="D63" s="16" t="n"/>
      <c r="E63" s="16" t="n"/>
      <c r="F63" s="16" t="n"/>
      <c r="G63" s="15">
        <f>IF(OR($A63="",$D63=0),"",$C63/$D63)</f>
        <v/>
      </c>
      <c r="H63" s="15">
        <f>IF(OR($A63="",$E63=0),"",$C63/$E63)</f>
        <v/>
      </c>
      <c r="I63" s="15">
        <f>IF(OR($A63="",$F63=0),"",$C63/$F63)</f>
        <v/>
      </c>
    </row>
    <row r="64">
      <c r="A64" s="5" t="n"/>
      <c r="B64" s="5">
        <f>IF($A64="","",IFERROR(INDEX('01-Cadastro-Motos'!$B$4:$B$123,MATCH($A64,'01-Cadastro-Motos'!$A$4:$A$123,0)),""))</f>
        <v/>
      </c>
      <c r="C64" s="9" t="n"/>
      <c r="D64" s="16" t="n"/>
      <c r="E64" s="16" t="n"/>
      <c r="F64" s="16" t="n"/>
      <c r="G64" s="15">
        <f>IF(OR($A64="",$D64=0),"",$C64/$D64)</f>
        <v/>
      </c>
      <c r="H64" s="15">
        <f>IF(OR($A64="",$E64=0),"",$C64/$E64)</f>
        <v/>
      </c>
      <c r="I64" s="15">
        <f>IF(OR($A64="",$F64=0),"",$C64/$F64)</f>
        <v/>
      </c>
    </row>
    <row r="65">
      <c r="A65" s="5" t="n"/>
      <c r="B65" s="5">
        <f>IF($A65="","",IFERROR(INDEX('01-Cadastro-Motos'!$B$4:$B$123,MATCH($A65,'01-Cadastro-Motos'!$A$4:$A$123,0)),""))</f>
        <v/>
      </c>
      <c r="C65" s="9" t="n"/>
      <c r="D65" s="16" t="n"/>
      <c r="E65" s="16" t="n"/>
      <c r="F65" s="16" t="n"/>
      <c r="G65" s="15">
        <f>IF(OR($A65="",$D65=0),"",$C65/$D65)</f>
        <v/>
      </c>
      <c r="H65" s="15">
        <f>IF(OR($A65="",$E65=0),"",$C65/$E65)</f>
        <v/>
      </c>
      <c r="I65" s="15">
        <f>IF(OR($A65="",$F65=0),"",$C65/$F65)</f>
        <v/>
      </c>
    </row>
    <row r="66">
      <c r="A66" s="5" t="n"/>
      <c r="B66" s="5">
        <f>IF($A66="","",IFERROR(INDEX('01-Cadastro-Motos'!$B$4:$B$123,MATCH($A66,'01-Cadastro-Motos'!$A$4:$A$123,0)),""))</f>
        <v/>
      </c>
      <c r="C66" s="9" t="n"/>
      <c r="D66" s="16" t="n"/>
      <c r="E66" s="16" t="n"/>
      <c r="F66" s="16" t="n"/>
      <c r="G66" s="15">
        <f>IF(OR($A66="",$D66=0),"",$C66/$D66)</f>
        <v/>
      </c>
      <c r="H66" s="15">
        <f>IF(OR($A66="",$E66=0),"",$C66/$E66)</f>
        <v/>
      </c>
      <c r="I66" s="15">
        <f>IF(OR($A66="",$F66=0),"",$C66/$F66)</f>
        <v/>
      </c>
    </row>
    <row r="67">
      <c r="A67" s="5" t="n"/>
      <c r="B67" s="5">
        <f>IF($A67="","",IFERROR(INDEX('01-Cadastro-Motos'!$B$4:$B$123,MATCH($A67,'01-Cadastro-Motos'!$A$4:$A$123,0)),""))</f>
        <v/>
      </c>
      <c r="C67" s="9" t="n"/>
      <c r="D67" s="16" t="n"/>
      <c r="E67" s="16" t="n"/>
      <c r="F67" s="16" t="n"/>
      <c r="G67" s="15">
        <f>IF(OR($A67="",$D67=0),"",$C67/$D67)</f>
        <v/>
      </c>
      <c r="H67" s="15">
        <f>IF(OR($A67="",$E67=0),"",$C67/$E67)</f>
        <v/>
      </c>
      <c r="I67" s="15">
        <f>IF(OR($A67="",$F67=0),"",$C67/$F67)</f>
        <v/>
      </c>
    </row>
    <row r="68">
      <c r="A68" s="5" t="n"/>
      <c r="B68" s="5">
        <f>IF($A68="","",IFERROR(INDEX('01-Cadastro-Motos'!$B$4:$B$123,MATCH($A68,'01-Cadastro-Motos'!$A$4:$A$123,0)),""))</f>
        <v/>
      </c>
      <c r="C68" s="9" t="n"/>
      <c r="D68" s="16" t="n"/>
      <c r="E68" s="16" t="n"/>
      <c r="F68" s="16" t="n"/>
      <c r="G68" s="15">
        <f>IF(OR($A68="",$D68=0),"",$C68/$D68)</f>
        <v/>
      </c>
      <c r="H68" s="15">
        <f>IF(OR($A68="",$E68=0),"",$C68/$E68)</f>
        <v/>
      </c>
      <c r="I68" s="15">
        <f>IF(OR($A68="",$F68=0),"",$C68/$F68)</f>
        <v/>
      </c>
    </row>
    <row r="69">
      <c r="A69" s="5" t="n"/>
      <c r="B69" s="5">
        <f>IF($A69="","",IFERROR(INDEX('01-Cadastro-Motos'!$B$4:$B$123,MATCH($A69,'01-Cadastro-Motos'!$A$4:$A$123,0)),""))</f>
        <v/>
      </c>
      <c r="C69" s="9" t="n"/>
      <c r="D69" s="16" t="n"/>
      <c r="E69" s="16" t="n"/>
      <c r="F69" s="16" t="n"/>
      <c r="G69" s="15">
        <f>IF(OR($A69="",$D69=0),"",$C69/$D69)</f>
        <v/>
      </c>
      <c r="H69" s="15">
        <f>IF(OR($A69="",$E69=0),"",$C69/$E69)</f>
        <v/>
      </c>
      <c r="I69" s="15">
        <f>IF(OR($A69="",$F69=0),"",$C69/$F69)</f>
        <v/>
      </c>
    </row>
    <row r="70">
      <c r="A70" s="5" t="n"/>
      <c r="B70" s="5">
        <f>IF($A70="","",IFERROR(INDEX('01-Cadastro-Motos'!$B$4:$B$123,MATCH($A70,'01-Cadastro-Motos'!$A$4:$A$123,0)),""))</f>
        <v/>
      </c>
      <c r="C70" s="9" t="n"/>
      <c r="D70" s="16" t="n"/>
      <c r="E70" s="16" t="n"/>
      <c r="F70" s="16" t="n"/>
      <c r="G70" s="15">
        <f>IF(OR($A70="",$D70=0),"",$C70/$D70)</f>
        <v/>
      </c>
      <c r="H70" s="15">
        <f>IF(OR($A70="",$E70=0),"",$C70/$E70)</f>
        <v/>
      </c>
      <c r="I70" s="15">
        <f>IF(OR($A70="",$F70=0),"",$C70/$F70)</f>
        <v/>
      </c>
    </row>
    <row r="71">
      <c r="A71" s="5" t="n"/>
      <c r="B71" s="5">
        <f>IF($A71="","",IFERROR(INDEX('01-Cadastro-Motos'!$B$4:$B$123,MATCH($A71,'01-Cadastro-Motos'!$A$4:$A$123,0)),""))</f>
        <v/>
      </c>
      <c r="C71" s="9" t="n"/>
      <c r="D71" s="16" t="n"/>
      <c r="E71" s="16" t="n"/>
      <c r="F71" s="16" t="n"/>
      <c r="G71" s="15">
        <f>IF(OR($A71="",$D71=0),"",$C71/$D71)</f>
        <v/>
      </c>
      <c r="H71" s="15">
        <f>IF(OR($A71="",$E71=0),"",$C71/$E71)</f>
        <v/>
      </c>
      <c r="I71" s="15">
        <f>IF(OR($A71="",$F71=0),"",$C71/$F71)</f>
        <v/>
      </c>
    </row>
    <row r="72">
      <c r="A72" s="5" t="n"/>
      <c r="B72" s="5">
        <f>IF($A72="","",IFERROR(INDEX('01-Cadastro-Motos'!$B$4:$B$123,MATCH($A72,'01-Cadastro-Motos'!$A$4:$A$123,0)),""))</f>
        <v/>
      </c>
      <c r="C72" s="9" t="n"/>
      <c r="D72" s="16" t="n"/>
      <c r="E72" s="16" t="n"/>
      <c r="F72" s="16" t="n"/>
      <c r="G72" s="15">
        <f>IF(OR($A72="",$D72=0),"",$C72/$D72)</f>
        <v/>
      </c>
      <c r="H72" s="15">
        <f>IF(OR($A72="",$E72=0),"",$C72/$E72)</f>
        <v/>
      </c>
      <c r="I72" s="15">
        <f>IF(OR($A72="",$F72=0),"",$C72/$F72)</f>
        <v/>
      </c>
    </row>
    <row r="73">
      <c r="A73" s="5" t="n"/>
      <c r="B73" s="5">
        <f>IF($A73="","",IFERROR(INDEX('01-Cadastro-Motos'!$B$4:$B$123,MATCH($A73,'01-Cadastro-Motos'!$A$4:$A$123,0)),""))</f>
        <v/>
      </c>
      <c r="C73" s="9" t="n"/>
      <c r="D73" s="16" t="n"/>
      <c r="E73" s="16" t="n"/>
      <c r="F73" s="16" t="n"/>
      <c r="G73" s="15">
        <f>IF(OR($A73="",$D73=0),"",$C73/$D73)</f>
        <v/>
      </c>
      <c r="H73" s="15">
        <f>IF(OR($A73="",$E73=0),"",$C73/$E73)</f>
        <v/>
      </c>
      <c r="I73" s="15">
        <f>IF(OR($A73="",$F73=0),"",$C73/$F73)</f>
        <v/>
      </c>
    </row>
    <row r="74">
      <c r="A74" s="5" t="n"/>
      <c r="B74" s="5">
        <f>IF($A74="","",IFERROR(INDEX('01-Cadastro-Motos'!$B$4:$B$123,MATCH($A74,'01-Cadastro-Motos'!$A$4:$A$123,0)),""))</f>
        <v/>
      </c>
      <c r="C74" s="9" t="n"/>
      <c r="D74" s="16" t="n"/>
      <c r="E74" s="16" t="n"/>
      <c r="F74" s="16" t="n"/>
      <c r="G74" s="15">
        <f>IF(OR($A74="",$D74=0),"",$C74/$D74)</f>
        <v/>
      </c>
      <c r="H74" s="15">
        <f>IF(OR($A74="",$E74=0),"",$C74/$E74)</f>
        <v/>
      </c>
      <c r="I74" s="15">
        <f>IF(OR($A74="",$F74=0),"",$C74/$F74)</f>
        <v/>
      </c>
    </row>
    <row r="75">
      <c r="A75" s="5" t="n"/>
      <c r="B75" s="5">
        <f>IF($A75="","",IFERROR(INDEX('01-Cadastro-Motos'!$B$4:$B$123,MATCH($A75,'01-Cadastro-Motos'!$A$4:$A$123,0)),""))</f>
        <v/>
      </c>
      <c r="C75" s="9" t="n"/>
      <c r="D75" s="16" t="n"/>
      <c r="E75" s="16" t="n"/>
      <c r="F75" s="16" t="n"/>
      <c r="G75" s="15">
        <f>IF(OR($A75="",$D75=0),"",$C75/$D75)</f>
        <v/>
      </c>
      <c r="H75" s="15">
        <f>IF(OR($A75="",$E75=0),"",$C75/$E75)</f>
        <v/>
      </c>
      <c r="I75" s="15">
        <f>IF(OR($A75="",$F75=0),"",$C75/$F75)</f>
        <v/>
      </c>
    </row>
    <row r="76">
      <c r="A76" s="5" t="n"/>
      <c r="B76" s="5">
        <f>IF($A76="","",IFERROR(INDEX('01-Cadastro-Motos'!$B$4:$B$123,MATCH($A76,'01-Cadastro-Motos'!$A$4:$A$123,0)),""))</f>
        <v/>
      </c>
      <c r="C76" s="9" t="n"/>
      <c r="D76" s="16" t="n"/>
      <c r="E76" s="16" t="n"/>
      <c r="F76" s="16" t="n"/>
      <c r="G76" s="15">
        <f>IF(OR($A76="",$D76=0),"",$C76/$D76)</f>
        <v/>
      </c>
      <c r="H76" s="15">
        <f>IF(OR($A76="",$E76=0),"",$C76/$E76)</f>
        <v/>
      </c>
      <c r="I76" s="15">
        <f>IF(OR($A76="",$F76=0),"",$C76/$F76)</f>
        <v/>
      </c>
    </row>
    <row r="77">
      <c r="A77" s="5" t="n"/>
      <c r="B77" s="5">
        <f>IF($A77="","",IFERROR(INDEX('01-Cadastro-Motos'!$B$4:$B$123,MATCH($A77,'01-Cadastro-Motos'!$A$4:$A$123,0)),""))</f>
        <v/>
      </c>
      <c r="C77" s="9" t="n"/>
      <c r="D77" s="16" t="n"/>
      <c r="E77" s="16" t="n"/>
      <c r="F77" s="16" t="n"/>
      <c r="G77" s="15">
        <f>IF(OR($A77="",$D77=0),"",$C77/$D77)</f>
        <v/>
      </c>
      <c r="H77" s="15">
        <f>IF(OR($A77="",$E77=0),"",$C77/$E77)</f>
        <v/>
      </c>
      <c r="I77" s="15">
        <f>IF(OR($A77="",$F77=0),"",$C77/$F77)</f>
        <v/>
      </c>
    </row>
    <row r="78">
      <c r="A78" s="5" t="n"/>
      <c r="B78" s="5">
        <f>IF($A78="","",IFERROR(INDEX('01-Cadastro-Motos'!$B$4:$B$123,MATCH($A78,'01-Cadastro-Motos'!$A$4:$A$123,0)),""))</f>
        <v/>
      </c>
      <c r="C78" s="9" t="n"/>
      <c r="D78" s="16" t="n"/>
      <c r="E78" s="16" t="n"/>
      <c r="F78" s="16" t="n"/>
      <c r="G78" s="15">
        <f>IF(OR($A78="",$D78=0),"",$C78/$D78)</f>
        <v/>
      </c>
      <c r="H78" s="15">
        <f>IF(OR($A78="",$E78=0),"",$C78/$E78)</f>
        <v/>
      </c>
      <c r="I78" s="15">
        <f>IF(OR($A78="",$F78=0),"",$C78/$F78)</f>
        <v/>
      </c>
    </row>
    <row r="79">
      <c r="A79" s="5" t="n"/>
      <c r="B79" s="5">
        <f>IF($A79="","",IFERROR(INDEX('01-Cadastro-Motos'!$B$4:$B$123,MATCH($A79,'01-Cadastro-Motos'!$A$4:$A$123,0)),""))</f>
        <v/>
      </c>
      <c r="C79" s="9" t="n"/>
      <c r="D79" s="16" t="n"/>
      <c r="E79" s="16" t="n"/>
      <c r="F79" s="16" t="n"/>
      <c r="G79" s="15">
        <f>IF(OR($A79="",$D79=0),"",$C79/$D79)</f>
        <v/>
      </c>
      <c r="H79" s="15">
        <f>IF(OR($A79="",$E79=0),"",$C79/$E79)</f>
        <v/>
      </c>
      <c r="I79" s="15">
        <f>IF(OR($A79="",$F79=0),"",$C79/$F79)</f>
        <v/>
      </c>
    </row>
    <row r="80">
      <c r="A80" s="5" t="n"/>
      <c r="B80" s="5">
        <f>IF($A80="","",IFERROR(INDEX('01-Cadastro-Motos'!$B$4:$B$123,MATCH($A80,'01-Cadastro-Motos'!$A$4:$A$123,0)),""))</f>
        <v/>
      </c>
      <c r="C80" s="9" t="n"/>
      <c r="D80" s="16" t="n"/>
      <c r="E80" s="16" t="n"/>
      <c r="F80" s="16" t="n"/>
      <c r="G80" s="15">
        <f>IF(OR($A80="",$D80=0),"",$C80/$D80)</f>
        <v/>
      </c>
      <c r="H80" s="15">
        <f>IF(OR($A80="",$E80=0),"",$C80/$E80)</f>
        <v/>
      </c>
      <c r="I80" s="15">
        <f>IF(OR($A80="",$F80=0),"",$C80/$F80)</f>
        <v/>
      </c>
    </row>
    <row r="81">
      <c r="A81" s="5" t="n"/>
      <c r="B81" s="5">
        <f>IF($A81="","",IFERROR(INDEX('01-Cadastro-Motos'!$B$4:$B$123,MATCH($A81,'01-Cadastro-Motos'!$A$4:$A$123,0)),""))</f>
        <v/>
      </c>
      <c r="C81" s="9" t="n"/>
      <c r="D81" s="16" t="n"/>
      <c r="E81" s="16" t="n"/>
      <c r="F81" s="16" t="n"/>
      <c r="G81" s="15">
        <f>IF(OR($A81="",$D81=0),"",$C81/$D81)</f>
        <v/>
      </c>
      <c r="H81" s="15">
        <f>IF(OR($A81="",$E81=0),"",$C81/$E81)</f>
        <v/>
      </c>
      <c r="I81" s="15">
        <f>IF(OR($A81="",$F81=0),"",$C81/$F81)</f>
        <v/>
      </c>
    </row>
    <row r="82">
      <c r="A82" s="5" t="n"/>
      <c r="B82" s="5">
        <f>IF($A82="","",IFERROR(INDEX('01-Cadastro-Motos'!$B$4:$B$123,MATCH($A82,'01-Cadastro-Motos'!$A$4:$A$123,0)),""))</f>
        <v/>
      </c>
      <c r="C82" s="9" t="n"/>
      <c r="D82" s="16" t="n"/>
      <c r="E82" s="16" t="n"/>
      <c r="F82" s="16" t="n"/>
      <c r="G82" s="15">
        <f>IF(OR($A82="",$D82=0),"",$C82/$D82)</f>
        <v/>
      </c>
      <c r="H82" s="15">
        <f>IF(OR($A82="",$E82=0),"",$C82/$E82)</f>
        <v/>
      </c>
      <c r="I82" s="15">
        <f>IF(OR($A82="",$F82=0),"",$C82/$F82)</f>
        <v/>
      </c>
    </row>
    <row r="83">
      <c r="A83" s="5" t="n"/>
      <c r="B83" s="5">
        <f>IF($A83="","",IFERROR(INDEX('01-Cadastro-Motos'!$B$4:$B$123,MATCH($A83,'01-Cadastro-Motos'!$A$4:$A$123,0)),""))</f>
        <v/>
      </c>
      <c r="C83" s="9" t="n"/>
      <c r="D83" s="16" t="n"/>
      <c r="E83" s="16" t="n"/>
      <c r="F83" s="16" t="n"/>
      <c r="G83" s="15">
        <f>IF(OR($A83="",$D83=0),"",$C83/$D83)</f>
        <v/>
      </c>
      <c r="H83" s="15">
        <f>IF(OR($A83="",$E83=0),"",$C83/$E83)</f>
        <v/>
      </c>
      <c r="I83" s="15">
        <f>IF(OR($A83="",$F83=0),"",$C83/$F83)</f>
        <v/>
      </c>
    </row>
    <row r="84">
      <c r="A84" s="5" t="n"/>
      <c r="B84" s="5">
        <f>IF($A84="","",IFERROR(INDEX('01-Cadastro-Motos'!$B$4:$B$123,MATCH($A84,'01-Cadastro-Motos'!$A$4:$A$123,0)),""))</f>
        <v/>
      </c>
      <c r="C84" s="9" t="n"/>
      <c r="D84" s="16" t="n"/>
      <c r="E84" s="16" t="n"/>
      <c r="F84" s="16" t="n"/>
      <c r="G84" s="15">
        <f>IF(OR($A84="",$D84=0),"",$C84/$D84)</f>
        <v/>
      </c>
      <c r="H84" s="15">
        <f>IF(OR($A84="",$E84=0),"",$C84/$E84)</f>
        <v/>
      </c>
      <c r="I84" s="15">
        <f>IF(OR($A84="",$F84=0),"",$C84/$F84)</f>
        <v/>
      </c>
    </row>
    <row r="85">
      <c r="A85" s="5" t="n"/>
      <c r="B85" s="5">
        <f>IF($A85="","",IFERROR(INDEX('01-Cadastro-Motos'!$B$4:$B$123,MATCH($A85,'01-Cadastro-Motos'!$A$4:$A$123,0)),""))</f>
        <v/>
      </c>
      <c r="C85" s="9" t="n"/>
      <c r="D85" s="16" t="n"/>
      <c r="E85" s="16" t="n"/>
      <c r="F85" s="16" t="n"/>
      <c r="G85" s="15">
        <f>IF(OR($A85="",$D85=0),"",$C85/$D85)</f>
        <v/>
      </c>
      <c r="H85" s="15">
        <f>IF(OR($A85="",$E85=0),"",$C85/$E85)</f>
        <v/>
      </c>
      <c r="I85" s="15">
        <f>IF(OR($A85="",$F85=0),"",$C85/$F85)</f>
        <v/>
      </c>
    </row>
    <row r="86">
      <c r="A86" s="5" t="n"/>
      <c r="B86" s="5">
        <f>IF($A86="","",IFERROR(INDEX('01-Cadastro-Motos'!$B$4:$B$123,MATCH($A86,'01-Cadastro-Motos'!$A$4:$A$123,0)),""))</f>
        <v/>
      </c>
      <c r="C86" s="9" t="n"/>
      <c r="D86" s="16" t="n"/>
      <c r="E86" s="16" t="n"/>
      <c r="F86" s="16" t="n"/>
      <c r="G86" s="15">
        <f>IF(OR($A86="",$D86=0),"",$C86/$D86)</f>
        <v/>
      </c>
      <c r="H86" s="15">
        <f>IF(OR($A86="",$E86=0),"",$C86/$E86)</f>
        <v/>
      </c>
      <c r="I86" s="15">
        <f>IF(OR($A86="",$F86=0),"",$C86/$F86)</f>
        <v/>
      </c>
    </row>
    <row r="87">
      <c r="A87" s="5" t="n"/>
      <c r="B87" s="5">
        <f>IF($A87="","",IFERROR(INDEX('01-Cadastro-Motos'!$B$4:$B$123,MATCH($A87,'01-Cadastro-Motos'!$A$4:$A$123,0)),""))</f>
        <v/>
      </c>
      <c r="C87" s="9" t="n"/>
      <c r="D87" s="16" t="n"/>
      <c r="E87" s="16" t="n"/>
      <c r="F87" s="16" t="n"/>
      <c r="G87" s="15">
        <f>IF(OR($A87="",$D87=0),"",$C87/$D87)</f>
        <v/>
      </c>
      <c r="H87" s="15">
        <f>IF(OR($A87="",$E87=0),"",$C87/$E87)</f>
        <v/>
      </c>
      <c r="I87" s="15">
        <f>IF(OR($A87="",$F87=0),"",$C87/$F87)</f>
        <v/>
      </c>
    </row>
    <row r="88">
      <c r="A88" s="5" t="n"/>
      <c r="B88" s="5">
        <f>IF($A88="","",IFERROR(INDEX('01-Cadastro-Motos'!$B$4:$B$123,MATCH($A88,'01-Cadastro-Motos'!$A$4:$A$123,0)),""))</f>
        <v/>
      </c>
      <c r="C88" s="9" t="n"/>
      <c r="D88" s="16" t="n"/>
      <c r="E88" s="16" t="n"/>
      <c r="F88" s="16" t="n"/>
      <c r="G88" s="15">
        <f>IF(OR($A88="",$D88=0),"",$C88/$D88)</f>
        <v/>
      </c>
      <c r="H88" s="15">
        <f>IF(OR($A88="",$E88=0),"",$C88/$E88)</f>
        <v/>
      </c>
      <c r="I88" s="15">
        <f>IF(OR($A88="",$F88=0),"",$C88/$F88)</f>
        <v/>
      </c>
    </row>
    <row r="89">
      <c r="A89" s="5" t="n"/>
      <c r="B89" s="5">
        <f>IF($A89="","",IFERROR(INDEX('01-Cadastro-Motos'!$B$4:$B$123,MATCH($A89,'01-Cadastro-Motos'!$A$4:$A$123,0)),""))</f>
        <v/>
      </c>
      <c r="C89" s="9" t="n"/>
      <c r="D89" s="16" t="n"/>
      <c r="E89" s="16" t="n"/>
      <c r="F89" s="16" t="n"/>
      <c r="G89" s="15">
        <f>IF(OR($A89="",$D89=0),"",$C89/$D89)</f>
        <v/>
      </c>
      <c r="H89" s="15">
        <f>IF(OR($A89="",$E89=0),"",$C89/$E89)</f>
        <v/>
      </c>
      <c r="I89" s="15">
        <f>IF(OR($A89="",$F89=0),"",$C89/$F89)</f>
        <v/>
      </c>
    </row>
    <row r="90">
      <c r="A90" s="5" t="n"/>
      <c r="B90" s="5">
        <f>IF($A90="","",IFERROR(INDEX('01-Cadastro-Motos'!$B$4:$B$123,MATCH($A90,'01-Cadastro-Motos'!$A$4:$A$123,0)),""))</f>
        <v/>
      </c>
      <c r="C90" s="9" t="n"/>
      <c r="D90" s="16" t="n"/>
      <c r="E90" s="16" t="n"/>
      <c r="F90" s="16" t="n"/>
      <c r="G90" s="15">
        <f>IF(OR($A90="",$D90=0),"",$C90/$D90)</f>
        <v/>
      </c>
      <c r="H90" s="15">
        <f>IF(OR($A90="",$E90=0),"",$C90/$E90)</f>
        <v/>
      </c>
      <c r="I90" s="15">
        <f>IF(OR($A90="",$F90=0),"",$C90/$F90)</f>
        <v/>
      </c>
    </row>
    <row r="91">
      <c r="A91" s="5" t="n"/>
      <c r="B91" s="5">
        <f>IF($A91="","",IFERROR(INDEX('01-Cadastro-Motos'!$B$4:$B$123,MATCH($A91,'01-Cadastro-Motos'!$A$4:$A$123,0)),""))</f>
        <v/>
      </c>
      <c r="C91" s="9" t="n"/>
      <c r="D91" s="16" t="n"/>
      <c r="E91" s="16" t="n"/>
      <c r="F91" s="16" t="n"/>
      <c r="G91" s="15">
        <f>IF(OR($A91="",$D91=0),"",$C91/$D91)</f>
        <v/>
      </c>
      <c r="H91" s="15">
        <f>IF(OR($A91="",$E91=0),"",$C91/$E91)</f>
        <v/>
      </c>
      <c r="I91" s="15">
        <f>IF(OR($A91="",$F91=0),"",$C91/$F91)</f>
        <v/>
      </c>
    </row>
    <row r="92">
      <c r="A92" s="5" t="n"/>
      <c r="B92" s="5">
        <f>IF($A92="","",IFERROR(INDEX('01-Cadastro-Motos'!$B$4:$B$123,MATCH($A92,'01-Cadastro-Motos'!$A$4:$A$123,0)),""))</f>
        <v/>
      </c>
      <c r="C92" s="9" t="n"/>
      <c r="D92" s="16" t="n"/>
      <c r="E92" s="16" t="n"/>
      <c r="F92" s="16" t="n"/>
      <c r="G92" s="15">
        <f>IF(OR($A92="",$D92=0),"",$C92/$D92)</f>
        <v/>
      </c>
      <c r="H92" s="15">
        <f>IF(OR($A92="",$E92=0),"",$C92/$E92)</f>
        <v/>
      </c>
      <c r="I92" s="15">
        <f>IF(OR($A92="",$F92=0),"",$C92/$F92)</f>
        <v/>
      </c>
    </row>
    <row r="93">
      <c r="A93" s="5" t="n"/>
      <c r="B93" s="5">
        <f>IF($A93="","",IFERROR(INDEX('01-Cadastro-Motos'!$B$4:$B$123,MATCH($A93,'01-Cadastro-Motos'!$A$4:$A$123,0)),""))</f>
        <v/>
      </c>
      <c r="C93" s="9" t="n"/>
      <c r="D93" s="16" t="n"/>
      <c r="E93" s="16" t="n"/>
      <c r="F93" s="16" t="n"/>
      <c r="G93" s="15">
        <f>IF(OR($A93="",$D93=0),"",$C93/$D93)</f>
        <v/>
      </c>
      <c r="H93" s="15">
        <f>IF(OR($A93="",$E93=0),"",$C93/$E93)</f>
        <v/>
      </c>
      <c r="I93" s="15">
        <f>IF(OR($A93="",$F93=0),"",$C93/$F93)</f>
        <v/>
      </c>
    </row>
    <row r="94">
      <c r="A94" s="5" t="n"/>
      <c r="B94" s="5">
        <f>IF($A94="","",IFERROR(INDEX('01-Cadastro-Motos'!$B$4:$B$123,MATCH($A94,'01-Cadastro-Motos'!$A$4:$A$123,0)),""))</f>
        <v/>
      </c>
      <c r="C94" s="9" t="n"/>
      <c r="D94" s="16" t="n"/>
      <c r="E94" s="16" t="n"/>
      <c r="F94" s="16" t="n"/>
      <c r="G94" s="15">
        <f>IF(OR($A94="",$D94=0),"",$C94/$D94)</f>
        <v/>
      </c>
      <c r="H94" s="15">
        <f>IF(OR($A94="",$E94=0),"",$C94/$E94)</f>
        <v/>
      </c>
      <c r="I94" s="15">
        <f>IF(OR($A94="",$F94=0),"",$C94/$F94)</f>
        <v/>
      </c>
    </row>
    <row r="95">
      <c r="A95" s="5" t="n"/>
      <c r="B95" s="5">
        <f>IF($A95="","",IFERROR(INDEX('01-Cadastro-Motos'!$B$4:$B$123,MATCH($A95,'01-Cadastro-Motos'!$A$4:$A$123,0)),""))</f>
        <v/>
      </c>
      <c r="C95" s="9" t="n"/>
      <c r="D95" s="16" t="n"/>
      <c r="E95" s="16" t="n"/>
      <c r="F95" s="16" t="n"/>
      <c r="G95" s="15">
        <f>IF(OR($A95="",$D95=0),"",$C95/$D95)</f>
        <v/>
      </c>
      <c r="H95" s="15">
        <f>IF(OR($A95="",$E95=0),"",$C95/$E95)</f>
        <v/>
      </c>
      <c r="I95" s="15">
        <f>IF(OR($A95="",$F95=0),"",$C95/$F95)</f>
        <v/>
      </c>
    </row>
    <row r="96">
      <c r="A96" s="5" t="n"/>
      <c r="B96" s="5">
        <f>IF($A96="","",IFERROR(INDEX('01-Cadastro-Motos'!$B$4:$B$123,MATCH($A96,'01-Cadastro-Motos'!$A$4:$A$123,0)),""))</f>
        <v/>
      </c>
      <c r="C96" s="9" t="n"/>
      <c r="D96" s="16" t="n"/>
      <c r="E96" s="16" t="n"/>
      <c r="F96" s="16" t="n"/>
      <c r="G96" s="15">
        <f>IF(OR($A96="",$D96=0),"",$C96/$D96)</f>
        <v/>
      </c>
      <c r="H96" s="15">
        <f>IF(OR($A96="",$E96=0),"",$C96/$E96)</f>
        <v/>
      </c>
      <c r="I96" s="15">
        <f>IF(OR($A96="",$F96=0),"",$C96/$F96)</f>
        <v/>
      </c>
    </row>
    <row r="97">
      <c r="A97" s="5" t="n"/>
      <c r="B97" s="5">
        <f>IF($A97="","",IFERROR(INDEX('01-Cadastro-Motos'!$B$4:$B$123,MATCH($A97,'01-Cadastro-Motos'!$A$4:$A$123,0)),""))</f>
        <v/>
      </c>
      <c r="C97" s="9" t="n"/>
      <c r="D97" s="16" t="n"/>
      <c r="E97" s="16" t="n"/>
      <c r="F97" s="16" t="n"/>
      <c r="G97" s="15">
        <f>IF(OR($A97="",$D97=0),"",$C97/$D97)</f>
        <v/>
      </c>
      <c r="H97" s="15">
        <f>IF(OR($A97="",$E97=0),"",$C97/$E97)</f>
        <v/>
      </c>
      <c r="I97" s="15">
        <f>IF(OR($A97="",$F97=0),"",$C97/$F97)</f>
        <v/>
      </c>
    </row>
    <row r="98">
      <c r="A98" s="5" t="n"/>
      <c r="B98" s="5">
        <f>IF($A98="","",IFERROR(INDEX('01-Cadastro-Motos'!$B$4:$B$123,MATCH($A98,'01-Cadastro-Motos'!$A$4:$A$123,0)),""))</f>
        <v/>
      </c>
      <c r="C98" s="9" t="n"/>
      <c r="D98" s="16" t="n"/>
      <c r="E98" s="16" t="n"/>
      <c r="F98" s="16" t="n"/>
      <c r="G98" s="15">
        <f>IF(OR($A98="",$D98=0),"",$C98/$D98)</f>
        <v/>
      </c>
      <c r="H98" s="15">
        <f>IF(OR($A98="",$E98=0),"",$C98/$E98)</f>
        <v/>
      </c>
      <c r="I98" s="15">
        <f>IF(OR($A98="",$F98=0),"",$C98/$F98)</f>
        <v/>
      </c>
    </row>
    <row r="99">
      <c r="A99" s="5" t="n"/>
      <c r="B99" s="5">
        <f>IF($A99="","",IFERROR(INDEX('01-Cadastro-Motos'!$B$4:$B$123,MATCH($A99,'01-Cadastro-Motos'!$A$4:$A$123,0)),""))</f>
        <v/>
      </c>
      <c r="C99" s="9" t="n"/>
      <c r="D99" s="16" t="n"/>
      <c r="E99" s="16" t="n"/>
      <c r="F99" s="16" t="n"/>
      <c r="G99" s="15">
        <f>IF(OR($A99="",$D99=0),"",$C99/$D99)</f>
        <v/>
      </c>
      <c r="H99" s="15">
        <f>IF(OR($A99="",$E99=0),"",$C99/$E99)</f>
        <v/>
      </c>
      <c r="I99" s="15">
        <f>IF(OR($A99="",$F99=0),"",$C99/$F99)</f>
        <v/>
      </c>
    </row>
    <row r="100">
      <c r="A100" s="5" t="n"/>
      <c r="B100" s="5">
        <f>IF($A100="","",IFERROR(INDEX('01-Cadastro-Motos'!$B$4:$B$123,MATCH($A100,'01-Cadastro-Motos'!$A$4:$A$123,0)),""))</f>
        <v/>
      </c>
      <c r="C100" s="9" t="n"/>
      <c r="D100" s="16" t="n"/>
      <c r="E100" s="16" t="n"/>
      <c r="F100" s="16" t="n"/>
      <c r="G100" s="15">
        <f>IF(OR($A100="",$D100=0),"",$C100/$D100)</f>
        <v/>
      </c>
      <c r="H100" s="15">
        <f>IF(OR($A100="",$E100=0),"",$C100/$E100)</f>
        <v/>
      </c>
      <c r="I100" s="15">
        <f>IF(OR($A100="",$F100=0),"",$C100/$F100)</f>
        <v/>
      </c>
    </row>
    <row r="101">
      <c r="A101" s="5" t="n"/>
      <c r="B101" s="5">
        <f>IF($A101="","",IFERROR(INDEX('01-Cadastro-Motos'!$B$4:$B$123,MATCH($A101,'01-Cadastro-Motos'!$A$4:$A$123,0)),""))</f>
        <v/>
      </c>
      <c r="C101" s="9" t="n"/>
      <c r="D101" s="16" t="n"/>
      <c r="E101" s="16" t="n"/>
      <c r="F101" s="16" t="n"/>
      <c r="G101" s="15">
        <f>IF(OR($A101="",$D101=0),"",$C101/$D101)</f>
        <v/>
      </c>
      <c r="H101" s="15">
        <f>IF(OR($A101="",$E101=0),"",$C101/$E101)</f>
        <v/>
      </c>
      <c r="I101" s="15">
        <f>IF(OR($A101="",$F101=0),"",$C101/$F101)</f>
        <v/>
      </c>
    </row>
    <row r="102">
      <c r="A102" s="5" t="n"/>
      <c r="B102" s="5">
        <f>IF($A102="","",IFERROR(INDEX('01-Cadastro-Motos'!$B$4:$B$123,MATCH($A102,'01-Cadastro-Motos'!$A$4:$A$123,0)),""))</f>
        <v/>
      </c>
      <c r="C102" s="9" t="n"/>
      <c r="D102" s="16" t="n"/>
      <c r="E102" s="16" t="n"/>
      <c r="F102" s="16" t="n"/>
      <c r="G102" s="15">
        <f>IF(OR($A102="",$D102=0),"",$C102/$D102)</f>
        <v/>
      </c>
      <c r="H102" s="15">
        <f>IF(OR($A102="",$E102=0),"",$C102/$E102)</f>
        <v/>
      </c>
      <c r="I102" s="15">
        <f>IF(OR($A102="",$F102=0),"",$C102/$F102)</f>
        <v/>
      </c>
    </row>
    <row r="103">
      <c r="A103" s="5" t="n"/>
      <c r="B103" s="5">
        <f>IF($A103="","",IFERROR(INDEX('01-Cadastro-Motos'!$B$4:$B$123,MATCH($A103,'01-Cadastro-Motos'!$A$4:$A$123,0)),""))</f>
        <v/>
      </c>
      <c r="C103" s="9" t="n"/>
      <c r="D103" s="16" t="n"/>
      <c r="E103" s="16" t="n"/>
      <c r="F103" s="16" t="n"/>
      <c r="G103" s="15">
        <f>IF(OR($A103="",$D103=0),"",$C103/$D103)</f>
        <v/>
      </c>
      <c r="H103" s="15">
        <f>IF(OR($A103="",$E103=0),"",$C103/$E103)</f>
        <v/>
      </c>
      <c r="I103" s="15">
        <f>IF(OR($A103="",$F103=0),"",$C103/$F103)</f>
        <v/>
      </c>
    </row>
    <row r="104">
      <c r="A104" s="5" t="n"/>
      <c r="B104" s="5">
        <f>IF($A104="","",IFERROR(INDEX('01-Cadastro-Motos'!$B$4:$B$123,MATCH($A104,'01-Cadastro-Motos'!$A$4:$A$123,0)),""))</f>
        <v/>
      </c>
      <c r="C104" s="9" t="n"/>
      <c r="D104" s="16" t="n"/>
      <c r="E104" s="16" t="n"/>
      <c r="F104" s="16" t="n"/>
      <c r="G104" s="15">
        <f>IF(OR($A104="",$D104=0),"",$C104/$D104)</f>
        <v/>
      </c>
      <c r="H104" s="15">
        <f>IF(OR($A104="",$E104=0),"",$C104/$E104)</f>
        <v/>
      </c>
      <c r="I104" s="15">
        <f>IF(OR($A104="",$F104=0),"",$C104/$F104)</f>
        <v/>
      </c>
    </row>
    <row r="105">
      <c r="A105" s="5" t="n"/>
      <c r="B105" s="5">
        <f>IF($A105="","",IFERROR(INDEX('01-Cadastro-Motos'!$B$4:$B$123,MATCH($A105,'01-Cadastro-Motos'!$A$4:$A$123,0)),""))</f>
        <v/>
      </c>
      <c r="C105" s="9" t="n"/>
      <c r="D105" s="16" t="n"/>
      <c r="E105" s="16" t="n"/>
      <c r="F105" s="16" t="n"/>
      <c r="G105" s="15">
        <f>IF(OR($A105="",$D105=0),"",$C105/$D105)</f>
        <v/>
      </c>
      <c r="H105" s="15">
        <f>IF(OR($A105="",$E105=0),"",$C105/$E105)</f>
        <v/>
      </c>
      <c r="I105" s="15">
        <f>IF(OR($A105="",$F105=0),"",$C105/$F105)</f>
        <v/>
      </c>
    </row>
    <row r="106">
      <c r="A106" s="5" t="n"/>
      <c r="B106" s="5">
        <f>IF($A106="","",IFERROR(INDEX('01-Cadastro-Motos'!$B$4:$B$123,MATCH($A106,'01-Cadastro-Motos'!$A$4:$A$123,0)),""))</f>
        <v/>
      </c>
      <c r="C106" s="9" t="n"/>
      <c r="D106" s="16" t="n"/>
      <c r="E106" s="16" t="n"/>
      <c r="F106" s="16" t="n"/>
      <c r="G106" s="15">
        <f>IF(OR($A106="",$D106=0),"",$C106/$D106)</f>
        <v/>
      </c>
      <c r="H106" s="15">
        <f>IF(OR($A106="",$E106=0),"",$C106/$E106)</f>
        <v/>
      </c>
      <c r="I106" s="15">
        <f>IF(OR($A106="",$F106=0),"",$C106/$F106)</f>
        <v/>
      </c>
    </row>
    <row r="107">
      <c r="A107" s="5" t="n"/>
      <c r="B107" s="5">
        <f>IF($A107="","",IFERROR(INDEX('01-Cadastro-Motos'!$B$4:$B$123,MATCH($A107,'01-Cadastro-Motos'!$A$4:$A$123,0)),""))</f>
        <v/>
      </c>
      <c r="C107" s="9" t="n"/>
      <c r="D107" s="16" t="n"/>
      <c r="E107" s="16" t="n"/>
      <c r="F107" s="16" t="n"/>
      <c r="G107" s="15">
        <f>IF(OR($A107="",$D107=0),"",$C107/$D107)</f>
        <v/>
      </c>
      <c r="H107" s="15">
        <f>IF(OR($A107="",$E107=0),"",$C107/$E107)</f>
        <v/>
      </c>
      <c r="I107" s="15">
        <f>IF(OR($A107="",$F107=0),"",$C107/$F107)</f>
        <v/>
      </c>
    </row>
    <row r="108">
      <c r="A108" s="5" t="n"/>
      <c r="B108" s="5">
        <f>IF($A108="","",IFERROR(INDEX('01-Cadastro-Motos'!$B$4:$B$123,MATCH($A108,'01-Cadastro-Motos'!$A$4:$A$123,0)),""))</f>
        <v/>
      </c>
      <c r="C108" s="9" t="n"/>
      <c r="D108" s="16" t="n"/>
      <c r="E108" s="16" t="n"/>
      <c r="F108" s="16" t="n"/>
      <c r="G108" s="15">
        <f>IF(OR($A108="",$D108=0),"",$C108/$D108)</f>
        <v/>
      </c>
      <c r="H108" s="15">
        <f>IF(OR($A108="",$E108=0),"",$C108/$E108)</f>
        <v/>
      </c>
      <c r="I108" s="15">
        <f>IF(OR($A108="",$F108=0),"",$C108/$F108)</f>
        <v/>
      </c>
    </row>
    <row r="109">
      <c r="A109" s="5" t="n"/>
      <c r="B109" s="5">
        <f>IF($A109="","",IFERROR(INDEX('01-Cadastro-Motos'!$B$4:$B$123,MATCH($A109,'01-Cadastro-Motos'!$A$4:$A$123,0)),""))</f>
        <v/>
      </c>
      <c r="C109" s="9" t="n"/>
      <c r="D109" s="16" t="n"/>
      <c r="E109" s="16" t="n"/>
      <c r="F109" s="16" t="n"/>
      <c r="G109" s="15">
        <f>IF(OR($A109="",$D109=0),"",$C109/$D109)</f>
        <v/>
      </c>
      <c r="H109" s="15">
        <f>IF(OR($A109="",$E109=0),"",$C109/$E109)</f>
        <v/>
      </c>
      <c r="I109" s="15">
        <f>IF(OR($A109="",$F109=0),"",$C109/$F109)</f>
        <v/>
      </c>
    </row>
    <row r="110">
      <c r="A110" s="5" t="n"/>
      <c r="B110" s="5">
        <f>IF($A110="","",IFERROR(INDEX('01-Cadastro-Motos'!$B$4:$B$123,MATCH($A110,'01-Cadastro-Motos'!$A$4:$A$123,0)),""))</f>
        <v/>
      </c>
      <c r="C110" s="9" t="n"/>
      <c r="D110" s="16" t="n"/>
      <c r="E110" s="16" t="n"/>
      <c r="F110" s="16" t="n"/>
      <c r="G110" s="15">
        <f>IF(OR($A110="",$D110=0),"",$C110/$D110)</f>
        <v/>
      </c>
      <c r="H110" s="15">
        <f>IF(OR($A110="",$E110=0),"",$C110/$E110)</f>
        <v/>
      </c>
      <c r="I110" s="15">
        <f>IF(OR($A110="",$F110=0),"",$C110/$F110)</f>
        <v/>
      </c>
    </row>
    <row r="111">
      <c r="A111" s="5" t="n"/>
      <c r="B111" s="5">
        <f>IF($A111="","",IFERROR(INDEX('01-Cadastro-Motos'!$B$4:$B$123,MATCH($A111,'01-Cadastro-Motos'!$A$4:$A$123,0)),""))</f>
        <v/>
      </c>
      <c r="C111" s="9" t="n"/>
      <c r="D111" s="16" t="n"/>
      <c r="E111" s="16" t="n"/>
      <c r="F111" s="16" t="n"/>
      <c r="G111" s="15">
        <f>IF(OR($A111="",$D111=0),"",$C111/$D111)</f>
        <v/>
      </c>
      <c r="H111" s="15">
        <f>IF(OR($A111="",$E111=0),"",$C111/$E111)</f>
        <v/>
      </c>
      <c r="I111" s="15">
        <f>IF(OR($A111="",$F111=0),"",$C111/$F111)</f>
        <v/>
      </c>
    </row>
    <row r="112">
      <c r="A112" s="5" t="n"/>
      <c r="B112" s="5">
        <f>IF($A112="","",IFERROR(INDEX('01-Cadastro-Motos'!$B$4:$B$123,MATCH($A112,'01-Cadastro-Motos'!$A$4:$A$123,0)),""))</f>
        <v/>
      </c>
      <c r="C112" s="9" t="n"/>
      <c r="D112" s="16" t="n"/>
      <c r="E112" s="16" t="n"/>
      <c r="F112" s="16" t="n"/>
      <c r="G112" s="15">
        <f>IF(OR($A112="",$D112=0),"",$C112/$D112)</f>
        <v/>
      </c>
      <c r="H112" s="15">
        <f>IF(OR($A112="",$E112=0),"",$C112/$E112)</f>
        <v/>
      </c>
      <c r="I112" s="15">
        <f>IF(OR($A112="",$F112=0),"",$C112/$F112)</f>
        <v/>
      </c>
    </row>
    <row r="113">
      <c r="A113" s="5" t="n"/>
      <c r="B113" s="5">
        <f>IF($A113="","",IFERROR(INDEX('01-Cadastro-Motos'!$B$4:$B$123,MATCH($A113,'01-Cadastro-Motos'!$A$4:$A$123,0)),""))</f>
        <v/>
      </c>
      <c r="C113" s="9" t="n"/>
      <c r="D113" s="16" t="n"/>
      <c r="E113" s="16" t="n"/>
      <c r="F113" s="16" t="n"/>
      <c r="G113" s="15">
        <f>IF(OR($A113="",$D113=0),"",$C113/$D113)</f>
        <v/>
      </c>
      <c r="H113" s="15">
        <f>IF(OR($A113="",$E113=0),"",$C113/$E113)</f>
        <v/>
      </c>
      <c r="I113" s="15">
        <f>IF(OR($A113="",$F113=0),"",$C113/$F113)</f>
        <v/>
      </c>
    </row>
    <row r="114">
      <c r="A114" s="5" t="n"/>
      <c r="B114" s="5">
        <f>IF($A114="","",IFERROR(INDEX('01-Cadastro-Motos'!$B$4:$B$123,MATCH($A114,'01-Cadastro-Motos'!$A$4:$A$123,0)),""))</f>
        <v/>
      </c>
      <c r="C114" s="9" t="n"/>
      <c r="D114" s="16" t="n"/>
      <c r="E114" s="16" t="n"/>
      <c r="F114" s="16" t="n"/>
      <c r="G114" s="15">
        <f>IF(OR($A114="",$D114=0),"",$C114/$D114)</f>
        <v/>
      </c>
      <c r="H114" s="15">
        <f>IF(OR($A114="",$E114=0),"",$C114/$E114)</f>
        <v/>
      </c>
      <c r="I114" s="15">
        <f>IF(OR($A114="",$F114=0),"",$C114/$F114)</f>
        <v/>
      </c>
    </row>
    <row r="115">
      <c r="A115" s="5" t="n"/>
      <c r="B115" s="5">
        <f>IF($A115="","",IFERROR(INDEX('01-Cadastro-Motos'!$B$4:$B$123,MATCH($A115,'01-Cadastro-Motos'!$A$4:$A$123,0)),""))</f>
        <v/>
      </c>
      <c r="C115" s="9" t="n"/>
      <c r="D115" s="16" t="n"/>
      <c r="E115" s="16" t="n"/>
      <c r="F115" s="16" t="n"/>
      <c r="G115" s="15">
        <f>IF(OR($A115="",$D115=0),"",$C115/$D115)</f>
        <v/>
      </c>
      <c r="H115" s="15">
        <f>IF(OR($A115="",$E115=0),"",$C115/$E115)</f>
        <v/>
      </c>
      <c r="I115" s="15">
        <f>IF(OR($A115="",$F115=0),"",$C115/$F115)</f>
        <v/>
      </c>
    </row>
    <row r="116">
      <c r="A116" s="5" t="n"/>
      <c r="B116" s="5">
        <f>IF($A116="","",IFERROR(INDEX('01-Cadastro-Motos'!$B$4:$B$123,MATCH($A116,'01-Cadastro-Motos'!$A$4:$A$123,0)),""))</f>
        <v/>
      </c>
      <c r="C116" s="9" t="n"/>
      <c r="D116" s="16" t="n"/>
      <c r="E116" s="16" t="n"/>
      <c r="F116" s="16" t="n"/>
      <c r="G116" s="15">
        <f>IF(OR($A116="",$D116=0),"",$C116/$D116)</f>
        <v/>
      </c>
      <c r="H116" s="15">
        <f>IF(OR($A116="",$E116=0),"",$C116/$E116)</f>
        <v/>
      </c>
      <c r="I116" s="15">
        <f>IF(OR($A116="",$F116=0),"",$C116/$F116)</f>
        <v/>
      </c>
    </row>
    <row r="117">
      <c r="A117" s="5" t="n"/>
      <c r="B117" s="5">
        <f>IF($A117="","",IFERROR(INDEX('01-Cadastro-Motos'!$B$4:$B$123,MATCH($A117,'01-Cadastro-Motos'!$A$4:$A$123,0)),""))</f>
        <v/>
      </c>
      <c r="C117" s="9" t="n"/>
      <c r="D117" s="16" t="n"/>
      <c r="E117" s="16" t="n"/>
      <c r="F117" s="16" t="n"/>
      <c r="G117" s="15">
        <f>IF(OR($A117="",$D117=0),"",$C117/$D117)</f>
        <v/>
      </c>
      <c r="H117" s="15">
        <f>IF(OR($A117="",$E117=0),"",$C117/$E117)</f>
        <v/>
      </c>
      <c r="I117" s="15">
        <f>IF(OR($A117="",$F117=0),"",$C117/$F117)</f>
        <v/>
      </c>
    </row>
    <row r="118">
      <c r="A118" s="5" t="n"/>
      <c r="B118" s="5">
        <f>IF($A118="","",IFERROR(INDEX('01-Cadastro-Motos'!$B$4:$B$123,MATCH($A118,'01-Cadastro-Motos'!$A$4:$A$123,0)),""))</f>
        <v/>
      </c>
      <c r="C118" s="9" t="n"/>
      <c r="D118" s="16" t="n"/>
      <c r="E118" s="16" t="n"/>
      <c r="F118" s="16" t="n"/>
      <c r="G118" s="15">
        <f>IF(OR($A118="",$D118=0),"",$C118/$D118)</f>
        <v/>
      </c>
      <c r="H118" s="15">
        <f>IF(OR($A118="",$E118=0),"",$C118/$E118)</f>
        <v/>
      </c>
      <c r="I118" s="15">
        <f>IF(OR($A118="",$F118=0),"",$C118/$F118)</f>
        <v/>
      </c>
    </row>
    <row r="119">
      <c r="A119" s="5" t="n"/>
      <c r="B119" s="5">
        <f>IF($A119="","",IFERROR(INDEX('01-Cadastro-Motos'!$B$4:$B$123,MATCH($A119,'01-Cadastro-Motos'!$A$4:$A$123,0)),""))</f>
        <v/>
      </c>
      <c r="C119" s="9" t="n"/>
      <c r="D119" s="16" t="n"/>
      <c r="E119" s="16" t="n"/>
      <c r="F119" s="16" t="n"/>
      <c r="G119" s="15">
        <f>IF(OR($A119="",$D119=0),"",$C119/$D119)</f>
        <v/>
      </c>
      <c r="H119" s="15">
        <f>IF(OR($A119="",$E119=0),"",$C119/$E119)</f>
        <v/>
      </c>
      <c r="I119" s="15">
        <f>IF(OR($A119="",$F119=0),"",$C119/$F119)</f>
        <v/>
      </c>
    </row>
    <row r="120">
      <c r="A120" s="5" t="n"/>
      <c r="B120" s="5">
        <f>IF($A120="","",IFERROR(INDEX('01-Cadastro-Motos'!$B$4:$B$123,MATCH($A120,'01-Cadastro-Motos'!$A$4:$A$123,0)),""))</f>
        <v/>
      </c>
      <c r="C120" s="9" t="n"/>
      <c r="D120" s="16" t="n"/>
      <c r="E120" s="16" t="n"/>
      <c r="F120" s="16" t="n"/>
      <c r="G120" s="15">
        <f>IF(OR($A120="",$D120=0),"",$C120/$D120)</f>
        <v/>
      </c>
      <c r="H120" s="15">
        <f>IF(OR($A120="",$E120=0),"",$C120/$E120)</f>
        <v/>
      </c>
      <c r="I120" s="15">
        <f>IF(OR($A120="",$F120=0),"",$C120/$F120)</f>
        <v/>
      </c>
    </row>
    <row r="121">
      <c r="A121" s="5" t="n"/>
      <c r="B121" s="5">
        <f>IF($A121="","",IFERROR(INDEX('01-Cadastro-Motos'!$B$4:$B$123,MATCH($A121,'01-Cadastro-Motos'!$A$4:$A$123,0)),""))</f>
        <v/>
      </c>
      <c r="C121" s="9" t="n"/>
      <c r="D121" s="16" t="n"/>
      <c r="E121" s="16" t="n"/>
      <c r="F121" s="16" t="n"/>
      <c r="G121" s="15">
        <f>IF(OR($A121="",$D121=0),"",$C121/$D121)</f>
        <v/>
      </c>
      <c r="H121" s="15">
        <f>IF(OR($A121="",$E121=0),"",$C121/$E121)</f>
        <v/>
      </c>
      <c r="I121" s="15">
        <f>IF(OR($A121="",$F121=0),"",$C121/$F121)</f>
        <v/>
      </c>
    </row>
    <row r="122">
      <c r="A122" s="5" t="n"/>
      <c r="B122" s="5">
        <f>IF($A122="","",IFERROR(INDEX('01-Cadastro-Motos'!$B$4:$B$123,MATCH($A122,'01-Cadastro-Motos'!$A$4:$A$123,0)),""))</f>
        <v/>
      </c>
      <c r="C122" s="9" t="n"/>
      <c r="D122" s="16" t="n"/>
      <c r="E122" s="16" t="n"/>
      <c r="F122" s="16" t="n"/>
      <c r="G122" s="15">
        <f>IF(OR($A122="",$D122=0),"",$C122/$D122)</f>
        <v/>
      </c>
      <c r="H122" s="15">
        <f>IF(OR($A122="",$E122=0),"",$C122/$E122)</f>
        <v/>
      </c>
      <c r="I122" s="15">
        <f>IF(OR($A122="",$F122=0),"",$C122/$F122)</f>
        <v/>
      </c>
    </row>
    <row r="123">
      <c r="A123" s="5" t="n"/>
      <c r="B123" s="5">
        <f>IF($A123="","",IFERROR(INDEX('01-Cadastro-Motos'!$B$4:$B$123,MATCH($A123,'01-Cadastro-Motos'!$A$4:$A$123,0)),""))</f>
        <v/>
      </c>
      <c r="C123" s="9" t="n"/>
      <c r="D123" s="16" t="n"/>
      <c r="E123" s="16" t="n"/>
      <c r="F123" s="16" t="n"/>
      <c r="G123" s="15">
        <f>IF(OR($A123="",$D123=0),"",$C123/$D123)</f>
        <v/>
      </c>
      <c r="H123" s="15">
        <f>IF(OR($A123="",$E123=0),"",$C123/$E123)</f>
        <v/>
      </c>
      <c r="I123" s="15">
        <f>IF(OR($A123="",$F123=0),"",$C123/$F123)</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3"/>
  <sheetViews>
    <sheetView workbookViewId="0">
      <pane ySplit="3" topLeftCell="A4" activePane="bottomLeft" state="frozen"/>
      <selection pane="bottomLeft" activeCell="A1" sqref="A1"/>
    </sheetView>
  </sheetViews>
  <sheetFormatPr baseColWidth="8" defaultRowHeight="15" outlineLevelCol="0"/>
  <cols>
    <col width="14" customWidth="1" min="1" max="1"/>
    <col width="22" customWidth="1" min="2" max="2"/>
    <col width="16" customWidth="1" min="3" max="3"/>
    <col width="16" customWidth="1" min="4" max="4"/>
    <col width="14" customWidth="1" min="5" max="5"/>
  </cols>
  <sheetData>
    <row r="1">
      <c r="A1" s="1" t="inlineStr">
        <is>
          <t>Cadastro de Vendedores</t>
        </is>
      </c>
    </row>
    <row r="3">
      <c r="A3" s="4" t="inlineStr">
        <is>
          <t>ID Vendedor</t>
        </is>
      </c>
      <c r="B3" s="4" t="inlineStr">
        <is>
          <t>Nome</t>
        </is>
      </c>
      <c r="C3" s="4" t="inlineStr">
        <is>
          <t>Comissão Padrão (%)</t>
        </is>
      </c>
      <c r="D3" s="4" t="inlineStr">
        <is>
          <t>Meta Mensal (R$)</t>
        </is>
      </c>
      <c r="E3" s="4" t="inlineStr">
        <is>
          <t>Data Admissão</t>
        </is>
      </c>
    </row>
    <row r="4">
      <c r="A4" s="5" t="inlineStr">
        <is>
          <t>VEND-01</t>
        </is>
      </c>
      <c r="B4" s="5" t="inlineStr">
        <is>
          <t>João Vendedor</t>
        </is>
      </c>
      <c r="C4" s="17" t="n">
        <v>0.03</v>
      </c>
      <c r="D4" s="14" t="n">
        <v>60000</v>
      </c>
      <c r="E4" s="13" t="n">
        <v>45689</v>
      </c>
    </row>
    <row r="5">
      <c r="A5" s="5" t="inlineStr">
        <is>
          <t>VEND-02</t>
        </is>
      </c>
      <c r="B5" s="5" t="inlineStr">
        <is>
          <t>Maria Vendedora</t>
        </is>
      </c>
      <c r="C5" s="17" t="n">
        <v>0.03</v>
      </c>
      <c r="D5" s="14" t="n">
        <v>60000</v>
      </c>
      <c r="E5" s="13" t="n">
        <v>45823</v>
      </c>
    </row>
    <row r="6">
      <c r="A6" s="5" t="inlineStr">
        <is>
          <t>VEND-03</t>
        </is>
      </c>
      <c r="B6" s="5" t="inlineStr">
        <is>
          <t>Carlos Vendedor</t>
        </is>
      </c>
      <c r="C6" s="17" t="n">
        <v>0.03</v>
      </c>
      <c r="D6" s="14" t="n">
        <v>60000</v>
      </c>
      <c r="E6" s="13" t="n">
        <v>46032</v>
      </c>
    </row>
    <row r="7">
      <c r="A7" s="5" t="n"/>
      <c r="B7" s="5" t="n"/>
      <c r="C7" s="6" t="n"/>
      <c r="D7" s="9" t="n"/>
      <c r="E7" s="13" t="n"/>
    </row>
    <row r="8">
      <c r="A8" s="5" t="n"/>
      <c r="B8" s="5" t="n"/>
      <c r="C8" s="6" t="n"/>
      <c r="D8" s="9" t="n"/>
      <c r="E8" s="13" t="n"/>
    </row>
    <row r="9">
      <c r="A9" s="5" t="n"/>
      <c r="B9" s="5" t="n"/>
      <c r="C9" s="6" t="n"/>
      <c r="D9" s="9" t="n"/>
      <c r="E9" s="13" t="n"/>
    </row>
    <row r="10">
      <c r="A10" s="5" t="n"/>
      <c r="B10" s="5" t="n"/>
      <c r="C10" s="6" t="n"/>
      <c r="D10" s="9" t="n"/>
      <c r="E10" s="13" t="n"/>
    </row>
    <row r="11">
      <c r="A11" s="5" t="n"/>
      <c r="B11" s="5" t="n"/>
      <c r="C11" s="6" t="n"/>
      <c r="D11" s="9" t="n"/>
      <c r="E11" s="13" t="n"/>
    </row>
    <row r="12">
      <c r="A12" s="5" t="n"/>
      <c r="B12" s="5" t="n"/>
      <c r="C12" s="6" t="n"/>
      <c r="D12" s="9" t="n"/>
      <c r="E12" s="13" t="n"/>
    </row>
    <row r="13">
      <c r="A13" s="5" t="n"/>
      <c r="B13" s="5" t="n"/>
      <c r="C13" s="6" t="n"/>
      <c r="D13" s="9" t="n"/>
      <c r="E13" s="13" t="n"/>
    </row>
    <row r="14">
      <c r="A14" s="5" t="n"/>
      <c r="B14" s="5" t="n"/>
      <c r="C14" s="6" t="n"/>
      <c r="D14" s="9" t="n"/>
      <c r="E14" s="13" t="n"/>
    </row>
    <row r="15">
      <c r="A15" s="5" t="n"/>
      <c r="B15" s="5" t="n"/>
      <c r="C15" s="6" t="n"/>
      <c r="D15" s="9" t="n"/>
      <c r="E15" s="13" t="n"/>
    </row>
    <row r="16">
      <c r="A16" s="5" t="n"/>
      <c r="B16" s="5" t="n"/>
      <c r="C16" s="6" t="n"/>
      <c r="D16" s="9" t="n"/>
      <c r="E16" s="13" t="n"/>
    </row>
    <row r="17">
      <c r="A17" s="5" t="n"/>
      <c r="B17" s="5" t="n"/>
      <c r="C17" s="6" t="n"/>
      <c r="D17" s="9" t="n"/>
      <c r="E17" s="13" t="n"/>
    </row>
    <row r="18">
      <c r="A18" s="5" t="n"/>
      <c r="B18" s="5" t="n"/>
      <c r="C18" s="6" t="n"/>
      <c r="D18" s="9" t="n"/>
      <c r="E18" s="13" t="n"/>
    </row>
    <row r="19">
      <c r="A19" s="5" t="n"/>
      <c r="B19" s="5" t="n"/>
      <c r="C19" s="6" t="n"/>
      <c r="D19" s="9" t="n"/>
      <c r="E19" s="13" t="n"/>
    </row>
    <row r="20">
      <c r="A20" s="5" t="n"/>
      <c r="B20" s="5" t="n"/>
      <c r="C20" s="6" t="n"/>
      <c r="D20" s="9" t="n"/>
      <c r="E20" s="13" t="n"/>
    </row>
    <row r="21">
      <c r="A21" s="5" t="n"/>
      <c r="B21" s="5" t="n"/>
      <c r="C21" s="6" t="n"/>
      <c r="D21" s="9" t="n"/>
      <c r="E21" s="13" t="n"/>
    </row>
    <row r="22">
      <c r="A22" s="5" t="n"/>
      <c r="B22" s="5" t="n"/>
      <c r="C22" s="6" t="n"/>
      <c r="D22" s="9" t="n"/>
      <c r="E22" s="13" t="n"/>
    </row>
    <row r="23">
      <c r="A23" s="5" t="n"/>
      <c r="B23" s="5" t="n"/>
      <c r="C23" s="6" t="n"/>
      <c r="D23" s="9" t="n"/>
      <c r="E23" s="13" t="n"/>
    </row>
    <row r="24">
      <c r="A24" s="5" t="n"/>
      <c r="B24" s="5" t="n"/>
      <c r="C24" s="6" t="n"/>
      <c r="D24" s="9" t="n"/>
      <c r="E24" s="13" t="n"/>
    </row>
    <row r="25">
      <c r="A25" s="5" t="n"/>
      <c r="B25" s="5" t="n"/>
      <c r="C25" s="6" t="n"/>
      <c r="D25" s="9" t="n"/>
      <c r="E25" s="13" t="n"/>
    </row>
    <row r="26">
      <c r="A26" s="5" t="n"/>
      <c r="B26" s="5" t="n"/>
      <c r="C26" s="6" t="n"/>
      <c r="D26" s="9" t="n"/>
      <c r="E26" s="13" t="n"/>
    </row>
    <row r="27">
      <c r="A27" s="5" t="n"/>
      <c r="B27" s="5" t="n"/>
      <c r="C27" s="6" t="n"/>
      <c r="D27" s="9" t="n"/>
      <c r="E27" s="13" t="n"/>
    </row>
    <row r="28">
      <c r="A28" s="5" t="n"/>
      <c r="B28" s="5" t="n"/>
      <c r="C28" s="6" t="n"/>
      <c r="D28" s="9" t="n"/>
      <c r="E28" s="13" t="n"/>
    </row>
    <row r="29">
      <c r="A29" s="5" t="n"/>
      <c r="B29" s="5" t="n"/>
      <c r="C29" s="6" t="n"/>
      <c r="D29" s="9" t="n"/>
      <c r="E29" s="13" t="n"/>
    </row>
    <row r="30">
      <c r="A30" s="5" t="n"/>
      <c r="B30" s="5" t="n"/>
      <c r="C30" s="6" t="n"/>
      <c r="D30" s="9" t="n"/>
      <c r="E30" s="13" t="n"/>
    </row>
    <row r="31">
      <c r="A31" s="5" t="n"/>
      <c r="B31" s="5" t="n"/>
      <c r="C31" s="6" t="n"/>
      <c r="D31" s="9" t="n"/>
      <c r="E31" s="13" t="n"/>
    </row>
    <row r="32">
      <c r="A32" s="5" t="n"/>
      <c r="B32" s="5" t="n"/>
      <c r="C32" s="6" t="n"/>
      <c r="D32" s="9" t="n"/>
      <c r="E32" s="13" t="n"/>
    </row>
    <row r="33">
      <c r="A33" s="5" t="n"/>
      <c r="B33" s="5" t="n"/>
      <c r="C33" s="6" t="n"/>
      <c r="D33" s="9" t="n"/>
      <c r="E33" s="1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3"/>
  <sheetViews>
    <sheetView workbookViewId="0">
      <pane ySplit="3" topLeftCell="A4" activePane="bottomLeft" state="frozen"/>
      <selection pane="bottomLeft" activeCell="A1" sqref="A1"/>
    </sheetView>
  </sheetViews>
  <sheetFormatPr baseColWidth="8" defaultRowHeight="15" outlineLevelCol="0"/>
  <cols>
    <col width="12" customWidth="1" min="1" max="1"/>
    <col width="22" customWidth="1" min="2" max="2"/>
    <col width="14" customWidth="1" min="3" max="3"/>
    <col width="12" customWidth="1" min="4" max="4"/>
    <col width="16" customWidth="1" min="5" max="5"/>
    <col width="18" customWidth="1" min="6" max="6"/>
    <col width="16" customWidth="1" min="7" max="7"/>
  </cols>
  <sheetData>
    <row r="1">
      <c r="A1" s="1" t="inlineStr">
        <is>
          <t>Reconciliação Financeira Real (Pilar 8.3 / 8.4 / 8.13)</t>
        </is>
      </c>
    </row>
    <row r="3">
      <c r="A3" s="4" t="inlineStr">
        <is>
          <t>ID Moto</t>
        </is>
      </c>
      <c r="B3" s="4" t="inlineStr">
        <is>
          <t>Modelo (auto)</t>
        </is>
      </c>
      <c r="C3" s="4" t="inlineStr">
        <is>
          <t>Valor Compra (auto)</t>
        </is>
      </c>
      <c r="D3" s="4" t="inlineStr">
        <is>
          <t>Dias em Estoque (auto)</t>
        </is>
      </c>
      <c r="E3" s="4" t="inlineStr">
        <is>
          <t>Custo Financeiro Real (R$)</t>
        </is>
      </c>
      <c r="F3" s="4" t="inlineStr">
        <is>
          <t>Custo Oportunidade Real (R$)</t>
        </is>
      </c>
      <c r="G3" s="4" t="inlineStr">
        <is>
          <t>Precisão de Giro</t>
        </is>
      </c>
    </row>
    <row r="4">
      <c r="A4" s="18">
        <f>IF('01-Cadastro-Motos'!$A4="","",'01-Cadastro-Motos'!$A4)</f>
        <v/>
      </c>
      <c r="B4" s="18">
        <f>IF($A4="","",IFERROR(INDEX('01-Cadastro-Motos'!$B$4:$B$123,MATCH($A4,'01-Cadastro-Motos'!$A$4:$A$123,0)),""))</f>
        <v/>
      </c>
      <c r="C4" s="15">
        <f>IF($A4="","",IFERROR(INDEX('01-Cadastro-Motos'!$I$4:$I$123,MATCH($A4,'01-Cadastro-Motos'!$A$4:$A$123,0)),""))</f>
        <v/>
      </c>
      <c r="D4" s="18">
        <f>IF($A4="","",IFERROR(INDEX('01-Cadastro-Motos'!$P$4:$P$123,MATCH($A4,'01-Cadastro-Motos'!$A$4:$A$123,0)),""))</f>
        <v/>
      </c>
      <c r="E4" s="15">
        <f>IF(OR($A4="",$D4=""),"",$C4*'00-Parametros'!$C$13*($D4/30))</f>
        <v/>
      </c>
      <c r="F4" s="15">
        <f>IF(OR($A4="",$D4=""),"",$C4*'00-Parametros'!$C$14*($D4/30))</f>
        <v/>
      </c>
      <c r="G4" s="19">
        <f>IF(OR($A4="",$D4="",$D4=0),"",'00-Parametros'!$C$15/$D4)</f>
        <v/>
      </c>
    </row>
    <row r="5">
      <c r="A5" s="18">
        <f>IF('01-Cadastro-Motos'!$A5="","",'01-Cadastro-Motos'!$A5)</f>
        <v/>
      </c>
      <c r="B5" s="18">
        <f>IF($A5="","",IFERROR(INDEX('01-Cadastro-Motos'!$B$4:$B$123,MATCH($A5,'01-Cadastro-Motos'!$A$4:$A$123,0)),""))</f>
        <v/>
      </c>
      <c r="C5" s="15">
        <f>IF($A5="","",IFERROR(INDEX('01-Cadastro-Motos'!$I$4:$I$123,MATCH($A5,'01-Cadastro-Motos'!$A$4:$A$123,0)),""))</f>
        <v/>
      </c>
      <c r="D5" s="18">
        <f>IF($A5="","",IFERROR(INDEX('01-Cadastro-Motos'!$P$4:$P$123,MATCH($A5,'01-Cadastro-Motos'!$A$4:$A$123,0)),""))</f>
        <v/>
      </c>
      <c r="E5" s="15">
        <f>IF(OR($A5="",$D5=""),"",$C5*'00-Parametros'!$C$13*($D5/30))</f>
        <v/>
      </c>
      <c r="F5" s="15">
        <f>IF(OR($A5="",$D5=""),"",$C5*'00-Parametros'!$C$14*($D5/30))</f>
        <v/>
      </c>
      <c r="G5" s="19">
        <f>IF(OR($A5="",$D5="",$D5=0),"",'00-Parametros'!$C$15/$D5)</f>
        <v/>
      </c>
    </row>
    <row r="6">
      <c r="A6" s="18">
        <f>IF('01-Cadastro-Motos'!$A6="","",'01-Cadastro-Motos'!$A6)</f>
        <v/>
      </c>
      <c r="B6" s="18">
        <f>IF($A6="","",IFERROR(INDEX('01-Cadastro-Motos'!$B$4:$B$123,MATCH($A6,'01-Cadastro-Motos'!$A$4:$A$123,0)),""))</f>
        <v/>
      </c>
      <c r="C6" s="15">
        <f>IF($A6="","",IFERROR(INDEX('01-Cadastro-Motos'!$I$4:$I$123,MATCH($A6,'01-Cadastro-Motos'!$A$4:$A$123,0)),""))</f>
        <v/>
      </c>
      <c r="D6" s="18">
        <f>IF($A6="","",IFERROR(INDEX('01-Cadastro-Motos'!$P$4:$P$123,MATCH($A6,'01-Cadastro-Motos'!$A$4:$A$123,0)),""))</f>
        <v/>
      </c>
      <c r="E6" s="15">
        <f>IF(OR($A6="",$D6=""),"",$C6*'00-Parametros'!$C$13*($D6/30))</f>
        <v/>
      </c>
      <c r="F6" s="15">
        <f>IF(OR($A6="",$D6=""),"",$C6*'00-Parametros'!$C$14*($D6/30))</f>
        <v/>
      </c>
      <c r="G6" s="19">
        <f>IF(OR($A6="",$D6="",$D6=0),"",'00-Parametros'!$C$15/$D6)</f>
        <v/>
      </c>
    </row>
    <row r="7">
      <c r="A7" s="18">
        <f>IF('01-Cadastro-Motos'!$A7="","",'01-Cadastro-Motos'!$A7)</f>
        <v/>
      </c>
      <c r="B7" s="18">
        <f>IF($A7="","",IFERROR(INDEX('01-Cadastro-Motos'!$B$4:$B$123,MATCH($A7,'01-Cadastro-Motos'!$A$4:$A$123,0)),""))</f>
        <v/>
      </c>
      <c r="C7" s="15">
        <f>IF($A7="","",IFERROR(INDEX('01-Cadastro-Motos'!$I$4:$I$123,MATCH($A7,'01-Cadastro-Motos'!$A$4:$A$123,0)),""))</f>
        <v/>
      </c>
      <c r="D7" s="18">
        <f>IF($A7="","",IFERROR(INDEX('01-Cadastro-Motos'!$P$4:$P$123,MATCH($A7,'01-Cadastro-Motos'!$A$4:$A$123,0)),""))</f>
        <v/>
      </c>
      <c r="E7" s="15">
        <f>IF(OR($A7="",$D7=""),"",$C7*'00-Parametros'!$C$13*($D7/30))</f>
        <v/>
      </c>
      <c r="F7" s="15">
        <f>IF(OR($A7="",$D7=""),"",$C7*'00-Parametros'!$C$14*($D7/30))</f>
        <v/>
      </c>
      <c r="G7" s="19">
        <f>IF(OR($A7="",$D7="",$D7=0),"",'00-Parametros'!$C$15/$D7)</f>
        <v/>
      </c>
    </row>
    <row r="8">
      <c r="A8" s="18">
        <f>IF('01-Cadastro-Motos'!$A8="","",'01-Cadastro-Motos'!$A8)</f>
        <v/>
      </c>
      <c r="B8" s="18">
        <f>IF($A8="","",IFERROR(INDEX('01-Cadastro-Motos'!$B$4:$B$123,MATCH($A8,'01-Cadastro-Motos'!$A$4:$A$123,0)),""))</f>
        <v/>
      </c>
      <c r="C8" s="15">
        <f>IF($A8="","",IFERROR(INDEX('01-Cadastro-Motos'!$I$4:$I$123,MATCH($A8,'01-Cadastro-Motos'!$A$4:$A$123,0)),""))</f>
        <v/>
      </c>
      <c r="D8" s="18">
        <f>IF($A8="","",IFERROR(INDEX('01-Cadastro-Motos'!$P$4:$P$123,MATCH($A8,'01-Cadastro-Motos'!$A$4:$A$123,0)),""))</f>
        <v/>
      </c>
      <c r="E8" s="15">
        <f>IF(OR($A8="",$D8=""),"",$C8*'00-Parametros'!$C$13*($D8/30))</f>
        <v/>
      </c>
      <c r="F8" s="15">
        <f>IF(OR($A8="",$D8=""),"",$C8*'00-Parametros'!$C$14*($D8/30))</f>
        <v/>
      </c>
      <c r="G8" s="19">
        <f>IF(OR($A8="",$D8="",$D8=0),"",'00-Parametros'!$C$15/$D8)</f>
        <v/>
      </c>
    </row>
    <row r="9">
      <c r="A9" s="18">
        <f>IF('01-Cadastro-Motos'!$A9="","",'01-Cadastro-Motos'!$A9)</f>
        <v/>
      </c>
      <c r="B9" s="18">
        <f>IF($A9="","",IFERROR(INDEX('01-Cadastro-Motos'!$B$4:$B$123,MATCH($A9,'01-Cadastro-Motos'!$A$4:$A$123,0)),""))</f>
        <v/>
      </c>
      <c r="C9" s="15">
        <f>IF($A9="","",IFERROR(INDEX('01-Cadastro-Motos'!$I$4:$I$123,MATCH($A9,'01-Cadastro-Motos'!$A$4:$A$123,0)),""))</f>
        <v/>
      </c>
      <c r="D9" s="18">
        <f>IF($A9="","",IFERROR(INDEX('01-Cadastro-Motos'!$P$4:$P$123,MATCH($A9,'01-Cadastro-Motos'!$A$4:$A$123,0)),""))</f>
        <v/>
      </c>
      <c r="E9" s="15">
        <f>IF(OR($A9="",$D9=""),"",$C9*'00-Parametros'!$C$13*($D9/30))</f>
        <v/>
      </c>
      <c r="F9" s="15">
        <f>IF(OR($A9="",$D9=""),"",$C9*'00-Parametros'!$C$14*($D9/30))</f>
        <v/>
      </c>
      <c r="G9" s="19">
        <f>IF(OR($A9="",$D9="",$D9=0),"",'00-Parametros'!$C$15/$D9)</f>
        <v/>
      </c>
    </row>
    <row r="10">
      <c r="A10" s="18">
        <f>IF('01-Cadastro-Motos'!$A10="","",'01-Cadastro-Motos'!$A10)</f>
        <v/>
      </c>
      <c r="B10" s="18">
        <f>IF($A10="","",IFERROR(INDEX('01-Cadastro-Motos'!$B$4:$B$123,MATCH($A10,'01-Cadastro-Motos'!$A$4:$A$123,0)),""))</f>
        <v/>
      </c>
      <c r="C10" s="15">
        <f>IF($A10="","",IFERROR(INDEX('01-Cadastro-Motos'!$I$4:$I$123,MATCH($A10,'01-Cadastro-Motos'!$A$4:$A$123,0)),""))</f>
        <v/>
      </c>
      <c r="D10" s="18">
        <f>IF($A10="","",IFERROR(INDEX('01-Cadastro-Motos'!$P$4:$P$123,MATCH($A10,'01-Cadastro-Motos'!$A$4:$A$123,0)),""))</f>
        <v/>
      </c>
      <c r="E10" s="15">
        <f>IF(OR($A10="",$D10=""),"",$C10*'00-Parametros'!$C$13*($D10/30))</f>
        <v/>
      </c>
      <c r="F10" s="15">
        <f>IF(OR($A10="",$D10=""),"",$C10*'00-Parametros'!$C$14*($D10/30))</f>
        <v/>
      </c>
      <c r="G10" s="19">
        <f>IF(OR($A10="",$D10="",$D10=0),"",'00-Parametros'!$C$15/$D10)</f>
        <v/>
      </c>
    </row>
    <row r="11">
      <c r="A11" s="18">
        <f>IF('01-Cadastro-Motos'!$A11="","",'01-Cadastro-Motos'!$A11)</f>
        <v/>
      </c>
      <c r="B11" s="18">
        <f>IF($A11="","",IFERROR(INDEX('01-Cadastro-Motos'!$B$4:$B$123,MATCH($A11,'01-Cadastro-Motos'!$A$4:$A$123,0)),""))</f>
        <v/>
      </c>
      <c r="C11" s="15">
        <f>IF($A11="","",IFERROR(INDEX('01-Cadastro-Motos'!$I$4:$I$123,MATCH($A11,'01-Cadastro-Motos'!$A$4:$A$123,0)),""))</f>
        <v/>
      </c>
      <c r="D11" s="18">
        <f>IF($A11="","",IFERROR(INDEX('01-Cadastro-Motos'!$P$4:$P$123,MATCH($A11,'01-Cadastro-Motos'!$A$4:$A$123,0)),""))</f>
        <v/>
      </c>
      <c r="E11" s="15">
        <f>IF(OR($A11="",$D11=""),"",$C11*'00-Parametros'!$C$13*($D11/30))</f>
        <v/>
      </c>
      <c r="F11" s="15">
        <f>IF(OR($A11="",$D11=""),"",$C11*'00-Parametros'!$C$14*($D11/30))</f>
        <v/>
      </c>
      <c r="G11" s="19">
        <f>IF(OR($A11="",$D11="",$D11=0),"",'00-Parametros'!$C$15/$D11)</f>
        <v/>
      </c>
    </row>
    <row r="12">
      <c r="A12" s="18">
        <f>IF('01-Cadastro-Motos'!$A12="","",'01-Cadastro-Motos'!$A12)</f>
        <v/>
      </c>
      <c r="B12" s="18">
        <f>IF($A12="","",IFERROR(INDEX('01-Cadastro-Motos'!$B$4:$B$123,MATCH($A12,'01-Cadastro-Motos'!$A$4:$A$123,0)),""))</f>
        <v/>
      </c>
      <c r="C12" s="15">
        <f>IF($A12="","",IFERROR(INDEX('01-Cadastro-Motos'!$I$4:$I$123,MATCH($A12,'01-Cadastro-Motos'!$A$4:$A$123,0)),""))</f>
        <v/>
      </c>
      <c r="D12" s="18">
        <f>IF($A12="","",IFERROR(INDEX('01-Cadastro-Motos'!$P$4:$P$123,MATCH($A12,'01-Cadastro-Motos'!$A$4:$A$123,0)),""))</f>
        <v/>
      </c>
      <c r="E12" s="15">
        <f>IF(OR($A12="",$D12=""),"",$C12*'00-Parametros'!$C$13*($D12/30))</f>
        <v/>
      </c>
      <c r="F12" s="15">
        <f>IF(OR($A12="",$D12=""),"",$C12*'00-Parametros'!$C$14*($D12/30))</f>
        <v/>
      </c>
      <c r="G12" s="19">
        <f>IF(OR($A12="",$D12="",$D12=0),"",'00-Parametros'!$C$15/$D12)</f>
        <v/>
      </c>
    </row>
    <row r="13">
      <c r="A13" s="18">
        <f>IF('01-Cadastro-Motos'!$A13="","",'01-Cadastro-Motos'!$A13)</f>
        <v/>
      </c>
      <c r="B13" s="18">
        <f>IF($A13="","",IFERROR(INDEX('01-Cadastro-Motos'!$B$4:$B$123,MATCH($A13,'01-Cadastro-Motos'!$A$4:$A$123,0)),""))</f>
        <v/>
      </c>
      <c r="C13" s="15">
        <f>IF($A13="","",IFERROR(INDEX('01-Cadastro-Motos'!$I$4:$I$123,MATCH($A13,'01-Cadastro-Motos'!$A$4:$A$123,0)),""))</f>
        <v/>
      </c>
      <c r="D13" s="18">
        <f>IF($A13="","",IFERROR(INDEX('01-Cadastro-Motos'!$P$4:$P$123,MATCH($A13,'01-Cadastro-Motos'!$A$4:$A$123,0)),""))</f>
        <v/>
      </c>
      <c r="E13" s="15">
        <f>IF(OR($A13="",$D13=""),"",$C13*'00-Parametros'!$C$13*($D13/30))</f>
        <v/>
      </c>
      <c r="F13" s="15">
        <f>IF(OR($A13="",$D13=""),"",$C13*'00-Parametros'!$C$14*($D13/30))</f>
        <v/>
      </c>
      <c r="G13" s="19">
        <f>IF(OR($A13="",$D13="",$D13=0),"",'00-Parametros'!$C$15/$D13)</f>
        <v/>
      </c>
    </row>
    <row r="14">
      <c r="A14" s="18">
        <f>IF('01-Cadastro-Motos'!$A14="","",'01-Cadastro-Motos'!$A14)</f>
        <v/>
      </c>
      <c r="B14" s="18">
        <f>IF($A14="","",IFERROR(INDEX('01-Cadastro-Motos'!$B$4:$B$123,MATCH($A14,'01-Cadastro-Motos'!$A$4:$A$123,0)),""))</f>
        <v/>
      </c>
      <c r="C14" s="15">
        <f>IF($A14="","",IFERROR(INDEX('01-Cadastro-Motos'!$I$4:$I$123,MATCH($A14,'01-Cadastro-Motos'!$A$4:$A$123,0)),""))</f>
        <v/>
      </c>
      <c r="D14" s="18">
        <f>IF($A14="","",IFERROR(INDEX('01-Cadastro-Motos'!$P$4:$P$123,MATCH($A14,'01-Cadastro-Motos'!$A$4:$A$123,0)),""))</f>
        <v/>
      </c>
      <c r="E14" s="15">
        <f>IF(OR($A14="",$D14=""),"",$C14*'00-Parametros'!$C$13*($D14/30))</f>
        <v/>
      </c>
      <c r="F14" s="15">
        <f>IF(OR($A14="",$D14=""),"",$C14*'00-Parametros'!$C$14*($D14/30))</f>
        <v/>
      </c>
      <c r="G14" s="19">
        <f>IF(OR($A14="",$D14="",$D14=0),"",'00-Parametros'!$C$15/$D14)</f>
        <v/>
      </c>
    </row>
    <row r="15">
      <c r="A15" s="18">
        <f>IF('01-Cadastro-Motos'!$A15="","",'01-Cadastro-Motos'!$A15)</f>
        <v/>
      </c>
      <c r="B15" s="18">
        <f>IF($A15="","",IFERROR(INDEX('01-Cadastro-Motos'!$B$4:$B$123,MATCH($A15,'01-Cadastro-Motos'!$A$4:$A$123,0)),""))</f>
        <v/>
      </c>
      <c r="C15" s="15">
        <f>IF($A15="","",IFERROR(INDEX('01-Cadastro-Motos'!$I$4:$I$123,MATCH($A15,'01-Cadastro-Motos'!$A$4:$A$123,0)),""))</f>
        <v/>
      </c>
      <c r="D15" s="18">
        <f>IF($A15="","",IFERROR(INDEX('01-Cadastro-Motos'!$P$4:$P$123,MATCH($A15,'01-Cadastro-Motos'!$A$4:$A$123,0)),""))</f>
        <v/>
      </c>
      <c r="E15" s="15">
        <f>IF(OR($A15="",$D15=""),"",$C15*'00-Parametros'!$C$13*($D15/30))</f>
        <v/>
      </c>
      <c r="F15" s="15">
        <f>IF(OR($A15="",$D15=""),"",$C15*'00-Parametros'!$C$14*($D15/30))</f>
        <v/>
      </c>
      <c r="G15" s="19">
        <f>IF(OR($A15="",$D15="",$D15=0),"",'00-Parametros'!$C$15/$D15)</f>
        <v/>
      </c>
    </row>
    <row r="16">
      <c r="A16" s="18">
        <f>IF('01-Cadastro-Motos'!$A16="","",'01-Cadastro-Motos'!$A16)</f>
        <v/>
      </c>
      <c r="B16" s="18">
        <f>IF($A16="","",IFERROR(INDEX('01-Cadastro-Motos'!$B$4:$B$123,MATCH($A16,'01-Cadastro-Motos'!$A$4:$A$123,0)),""))</f>
        <v/>
      </c>
      <c r="C16" s="15">
        <f>IF($A16="","",IFERROR(INDEX('01-Cadastro-Motos'!$I$4:$I$123,MATCH($A16,'01-Cadastro-Motos'!$A$4:$A$123,0)),""))</f>
        <v/>
      </c>
      <c r="D16" s="18">
        <f>IF($A16="","",IFERROR(INDEX('01-Cadastro-Motos'!$P$4:$P$123,MATCH($A16,'01-Cadastro-Motos'!$A$4:$A$123,0)),""))</f>
        <v/>
      </c>
      <c r="E16" s="15">
        <f>IF(OR($A16="",$D16=""),"",$C16*'00-Parametros'!$C$13*($D16/30))</f>
        <v/>
      </c>
      <c r="F16" s="15">
        <f>IF(OR($A16="",$D16=""),"",$C16*'00-Parametros'!$C$14*($D16/30))</f>
        <v/>
      </c>
      <c r="G16" s="19">
        <f>IF(OR($A16="",$D16="",$D16=0),"",'00-Parametros'!$C$15/$D16)</f>
        <v/>
      </c>
    </row>
    <row r="17">
      <c r="A17" s="18">
        <f>IF('01-Cadastro-Motos'!$A17="","",'01-Cadastro-Motos'!$A17)</f>
        <v/>
      </c>
      <c r="B17" s="18">
        <f>IF($A17="","",IFERROR(INDEX('01-Cadastro-Motos'!$B$4:$B$123,MATCH($A17,'01-Cadastro-Motos'!$A$4:$A$123,0)),""))</f>
        <v/>
      </c>
      <c r="C17" s="15">
        <f>IF($A17="","",IFERROR(INDEX('01-Cadastro-Motos'!$I$4:$I$123,MATCH($A17,'01-Cadastro-Motos'!$A$4:$A$123,0)),""))</f>
        <v/>
      </c>
      <c r="D17" s="18">
        <f>IF($A17="","",IFERROR(INDEX('01-Cadastro-Motos'!$P$4:$P$123,MATCH($A17,'01-Cadastro-Motos'!$A$4:$A$123,0)),""))</f>
        <v/>
      </c>
      <c r="E17" s="15">
        <f>IF(OR($A17="",$D17=""),"",$C17*'00-Parametros'!$C$13*($D17/30))</f>
        <v/>
      </c>
      <c r="F17" s="15">
        <f>IF(OR($A17="",$D17=""),"",$C17*'00-Parametros'!$C$14*($D17/30))</f>
        <v/>
      </c>
      <c r="G17" s="19">
        <f>IF(OR($A17="",$D17="",$D17=0),"",'00-Parametros'!$C$15/$D17)</f>
        <v/>
      </c>
    </row>
    <row r="18">
      <c r="A18" s="18">
        <f>IF('01-Cadastro-Motos'!$A18="","",'01-Cadastro-Motos'!$A18)</f>
        <v/>
      </c>
      <c r="B18" s="18">
        <f>IF($A18="","",IFERROR(INDEX('01-Cadastro-Motos'!$B$4:$B$123,MATCH($A18,'01-Cadastro-Motos'!$A$4:$A$123,0)),""))</f>
        <v/>
      </c>
      <c r="C18" s="15">
        <f>IF($A18="","",IFERROR(INDEX('01-Cadastro-Motos'!$I$4:$I$123,MATCH($A18,'01-Cadastro-Motos'!$A$4:$A$123,0)),""))</f>
        <v/>
      </c>
      <c r="D18" s="18">
        <f>IF($A18="","",IFERROR(INDEX('01-Cadastro-Motos'!$P$4:$P$123,MATCH($A18,'01-Cadastro-Motos'!$A$4:$A$123,0)),""))</f>
        <v/>
      </c>
      <c r="E18" s="15">
        <f>IF(OR($A18="",$D18=""),"",$C18*'00-Parametros'!$C$13*($D18/30))</f>
        <v/>
      </c>
      <c r="F18" s="15">
        <f>IF(OR($A18="",$D18=""),"",$C18*'00-Parametros'!$C$14*($D18/30))</f>
        <v/>
      </c>
      <c r="G18" s="19">
        <f>IF(OR($A18="",$D18="",$D18=0),"",'00-Parametros'!$C$15/$D18)</f>
        <v/>
      </c>
    </row>
    <row r="19">
      <c r="A19" s="18">
        <f>IF('01-Cadastro-Motos'!$A19="","",'01-Cadastro-Motos'!$A19)</f>
        <v/>
      </c>
      <c r="B19" s="18">
        <f>IF($A19="","",IFERROR(INDEX('01-Cadastro-Motos'!$B$4:$B$123,MATCH($A19,'01-Cadastro-Motos'!$A$4:$A$123,0)),""))</f>
        <v/>
      </c>
      <c r="C19" s="15">
        <f>IF($A19="","",IFERROR(INDEX('01-Cadastro-Motos'!$I$4:$I$123,MATCH($A19,'01-Cadastro-Motos'!$A$4:$A$123,0)),""))</f>
        <v/>
      </c>
      <c r="D19" s="18">
        <f>IF($A19="","",IFERROR(INDEX('01-Cadastro-Motos'!$P$4:$P$123,MATCH($A19,'01-Cadastro-Motos'!$A$4:$A$123,0)),""))</f>
        <v/>
      </c>
      <c r="E19" s="15">
        <f>IF(OR($A19="",$D19=""),"",$C19*'00-Parametros'!$C$13*($D19/30))</f>
        <v/>
      </c>
      <c r="F19" s="15">
        <f>IF(OR($A19="",$D19=""),"",$C19*'00-Parametros'!$C$14*($D19/30))</f>
        <v/>
      </c>
      <c r="G19" s="19">
        <f>IF(OR($A19="",$D19="",$D19=0),"",'00-Parametros'!$C$15/$D19)</f>
        <v/>
      </c>
    </row>
    <row r="20">
      <c r="A20" s="18">
        <f>IF('01-Cadastro-Motos'!$A20="","",'01-Cadastro-Motos'!$A20)</f>
        <v/>
      </c>
      <c r="B20" s="18">
        <f>IF($A20="","",IFERROR(INDEX('01-Cadastro-Motos'!$B$4:$B$123,MATCH($A20,'01-Cadastro-Motos'!$A$4:$A$123,0)),""))</f>
        <v/>
      </c>
      <c r="C20" s="15">
        <f>IF($A20="","",IFERROR(INDEX('01-Cadastro-Motos'!$I$4:$I$123,MATCH($A20,'01-Cadastro-Motos'!$A$4:$A$123,0)),""))</f>
        <v/>
      </c>
      <c r="D20" s="18">
        <f>IF($A20="","",IFERROR(INDEX('01-Cadastro-Motos'!$P$4:$P$123,MATCH($A20,'01-Cadastro-Motos'!$A$4:$A$123,0)),""))</f>
        <v/>
      </c>
      <c r="E20" s="15">
        <f>IF(OR($A20="",$D20=""),"",$C20*'00-Parametros'!$C$13*($D20/30))</f>
        <v/>
      </c>
      <c r="F20" s="15">
        <f>IF(OR($A20="",$D20=""),"",$C20*'00-Parametros'!$C$14*($D20/30))</f>
        <v/>
      </c>
      <c r="G20" s="19">
        <f>IF(OR($A20="",$D20="",$D20=0),"",'00-Parametros'!$C$15/$D20)</f>
        <v/>
      </c>
    </row>
    <row r="21">
      <c r="A21" s="18">
        <f>IF('01-Cadastro-Motos'!$A21="","",'01-Cadastro-Motos'!$A21)</f>
        <v/>
      </c>
      <c r="B21" s="18">
        <f>IF($A21="","",IFERROR(INDEX('01-Cadastro-Motos'!$B$4:$B$123,MATCH($A21,'01-Cadastro-Motos'!$A$4:$A$123,0)),""))</f>
        <v/>
      </c>
      <c r="C21" s="15">
        <f>IF($A21="","",IFERROR(INDEX('01-Cadastro-Motos'!$I$4:$I$123,MATCH($A21,'01-Cadastro-Motos'!$A$4:$A$123,0)),""))</f>
        <v/>
      </c>
      <c r="D21" s="18">
        <f>IF($A21="","",IFERROR(INDEX('01-Cadastro-Motos'!$P$4:$P$123,MATCH($A21,'01-Cadastro-Motos'!$A$4:$A$123,0)),""))</f>
        <v/>
      </c>
      <c r="E21" s="15">
        <f>IF(OR($A21="",$D21=""),"",$C21*'00-Parametros'!$C$13*($D21/30))</f>
        <v/>
      </c>
      <c r="F21" s="15">
        <f>IF(OR($A21="",$D21=""),"",$C21*'00-Parametros'!$C$14*($D21/30))</f>
        <v/>
      </c>
      <c r="G21" s="19">
        <f>IF(OR($A21="",$D21="",$D21=0),"",'00-Parametros'!$C$15/$D21)</f>
        <v/>
      </c>
    </row>
    <row r="22">
      <c r="A22" s="18">
        <f>IF('01-Cadastro-Motos'!$A22="","",'01-Cadastro-Motos'!$A22)</f>
        <v/>
      </c>
      <c r="B22" s="18">
        <f>IF($A22="","",IFERROR(INDEX('01-Cadastro-Motos'!$B$4:$B$123,MATCH($A22,'01-Cadastro-Motos'!$A$4:$A$123,0)),""))</f>
        <v/>
      </c>
      <c r="C22" s="15">
        <f>IF($A22="","",IFERROR(INDEX('01-Cadastro-Motos'!$I$4:$I$123,MATCH($A22,'01-Cadastro-Motos'!$A$4:$A$123,0)),""))</f>
        <v/>
      </c>
      <c r="D22" s="18">
        <f>IF($A22="","",IFERROR(INDEX('01-Cadastro-Motos'!$P$4:$P$123,MATCH($A22,'01-Cadastro-Motos'!$A$4:$A$123,0)),""))</f>
        <v/>
      </c>
      <c r="E22" s="15">
        <f>IF(OR($A22="",$D22=""),"",$C22*'00-Parametros'!$C$13*($D22/30))</f>
        <v/>
      </c>
      <c r="F22" s="15">
        <f>IF(OR($A22="",$D22=""),"",$C22*'00-Parametros'!$C$14*($D22/30))</f>
        <v/>
      </c>
      <c r="G22" s="19">
        <f>IF(OR($A22="",$D22="",$D22=0),"",'00-Parametros'!$C$15/$D22)</f>
        <v/>
      </c>
    </row>
    <row r="23">
      <c r="A23" s="18">
        <f>IF('01-Cadastro-Motos'!$A23="","",'01-Cadastro-Motos'!$A23)</f>
        <v/>
      </c>
      <c r="B23" s="18">
        <f>IF($A23="","",IFERROR(INDEX('01-Cadastro-Motos'!$B$4:$B$123,MATCH($A23,'01-Cadastro-Motos'!$A$4:$A$123,0)),""))</f>
        <v/>
      </c>
      <c r="C23" s="15">
        <f>IF($A23="","",IFERROR(INDEX('01-Cadastro-Motos'!$I$4:$I$123,MATCH($A23,'01-Cadastro-Motos'!$A$4:$A$123,0)),""))</f>
        <v/>
      </c>
      <c r="D23" s="18">
        <f>IF($A23="","",IFERROR(INDEX('01-Cadastro-Motos'!$P$4:$P$123,MATCH($A23,'01-Cadastro-Motos'!$A$4:$A$123,0)),""))</f>
        <v/>
      </c>
      <c r="E23" s="15">
        <f>IF(OR($A23="",$D23=""),"",$C23*'00-Parametros'!$C$13*($D23/30))</f>
        <v/>
      </c>
      <c r="F23" s="15">
        <f>IF(OR($A23="",$D23=""),"",$C23*'00-Parametros'!$C$14*($D23/30))</f>
        <v/>
      </c>
      <c r="G23" s="19">
        <f>IF(OR($A23="",$D23="",$D23=0),"",'00-Parametros'!$C$15/$D23)</f>
        <v/>
      </c>
    </row>
    <row r="24">
      <c r="A24" s="18">
        <f>IF('01-Cadastro-Motos'!$A24="","",'01-Cadastro-Motos'!$A24)</f>
        <v/>
      </c>
      <c r="B24" s="18">
        <f>IF($A24="","",IFERROR(INDEX('01-Cadastro-Motos'!$B$4:$B$123,MATCH($A24,'01-Cadastro-Motos'!$A$4:$A$123,0)),""))</f>
        <v/>
      </c>
      <c r="C24" s="15">
        <f>IF($A24="","",IFERROR(INDEX('01-Cadastro-Motos'!$I$4:$I$123,MATCH($A24,'01-Cadastro-Motos'!$A$4:$A$123,0)),""))</f>
        <v/>
      </c>
      <c r="D24" s="18">
        <f>IF($A24="","",IFERROR(INDEX('01-Cadastro-Motos'!$P$4:$P$123,MATCH($A24,'01-Cadastro-Motos'!$A$4:$A$123,0)),""))</f>
        <v/>
      </c>
      <c r="E24" s="15">
        <f>IF(OR($A24="",$D24=""),"",$C24*'00-Parametros'!$C$13*($D24/30))</f>
        <v/>
      </c>
      <c r="F24" s="15">
        <f>IF(OR($A24="",$D24=""),"",$C24*'00-Parametros'!$C$14*($D24/30))</f>
        <v/>
      </c>
      <c r="G24" s="19">
        <f>IF(OR($A24="",$D24="",$D24=0),"",'00-Parametros'!$C$15/$D24)</f>
        <v/>
      </c>
    </row>
    <row r="25">
      <c r="A25" s="18">
        <f>IF('01-Cadastro-Motos'!$A25="","",'01-Cadastro-Motos'!$A25)</f>
        <v/>
      </c>
      <c r="B25" s="18">
        <f>IF($A25="","",IFERROR(INDEX('01-Cadastro-Motos'!$B$4:$B$123,MATCH($A25,'01-Cadastro-Motos'!$A$4:$A$123,0)),""))</f>
        <v/>
      </c>
      <c r="C25" s="15">
        <f>IF($A25="","",IFERROR(INDEX('01-Cadastro-Motos'!$I$4:$I$123,MATCH($A25,'01-Cadastro-Motos'!$A$4:$A$123,0)),""))</f>
        <v/>
      </c>
      <c r="D25" s="18">
        <f>IF($A25="","",IFERROR(INDEX('01-Cadastro-Motos'!$P$4:$P$123,MATCH($A25,'01-Cadastro-Motos'!$A$4:$A$123,0)),""))</f>
        <v/>
      </c>
      <c r="E25" s="15">
        <f>IF(OR($A25="",$D25=""),"",$C25*'00-Parametros'!$C$13*($D25/30))</f>
        <v/>
      </c>
      <c r="F25" s="15">
        <f>IF(OR($A25="",$D25=""),"",$C25*'00-Parametros'!$C$14*($D25/30))</f>
        <v/>
      </c>
      <c r="G25" s="19">
        <f>IF(OR($A25="",$D25="",$D25=0),"",'00-Parametros'!$C$15/$D25)</f>
        <v/>
      </c>
    </row>
    <row r="26">
      <c r="A26" s="18">
        <f>IF('01-Cadastro-Motos'!$A26="","",'01-Cadastro-Motos'!$A26)</f>
        <v/>
      </c>
      <c r="B26" s="18">
        <f>IF($A26="","",IFERROR(INDEX('01-Cadastro-Motos'!$B$4:$B$123,MATCH($A26,'01-Cadastro-Motos'!$A$4:$A$123,0)),""))</f>
        <v/>
      </c>
      <c r="C26" s="15">
        <f>IF($A26="","",IFERROR(INDEX('01-Cadastro-Motos'!$I$4:$I$123,MATCH($A26,'01-Cadastro-Motos'!$A$4:$A$123,0)),""))</f>
        <v/>
      </c>
      <c r="D26" s="18">
        <f>IF($A26="","",IFERROR(INDEX('01-Cadastro-Motos'!$P$4:$P$123,MATCH($A26,'01-Cadastro-Motos'!$A$4:$A$123,0)),""))</f>
        <v/>
      </c>
      <c r="E26" s="15">
        <f>IF(OR($A26="",$D26=""),"",$C26*'00-Parametros'!$C$13*($D26/30))</f>
        <v/>
      </c>
      <c r="F26" s="15">
        <f>IF(OR($A26="",$D26=""),"",$C26*'00-Parametros'!$C$14*($D26/30))</f>
        <v/>
      </c>
      <c r="G26" s="19">
        <f>IF(OR($A26="",$D26="",$D26=0),"",'00-Parametros'!$C$15/$D26)</f>
        <v/>
      </c>
    </row>
    <row r="27">
      <c r="A27" s="18">
        <f>IF('01-Cadastro-Motos'!$A27="","",'01-Cadastro-Motos'!$A27)</f>
        <v/>
      </c>
      <c r="B27" s="18">
        <f>IF($A27="","",IFERROR(INDEX('01-Cadastro-Motos'!$B$4:$B$123,MATCH($A27,'01-Cadastro-Motos'!$A$4:$A$123,0)),""))</f>
        <v/>
      </c>
      <c r="C27" s="15">
        <f>IF($A27="","",IFERROR(INDEX('01-Cadastro-Motos'!$I$4:$I$123,MATCH($A27,'01-Cadastro-Motos'!$A$4:$A$123,0)),""))</f>
        <v/>
      </c>
      <c r="D27" s="18">
        <f>IF($A27="","",IFERROR(INDEX('01-Cadastro-Motos'!$P$4:$P$123,MATCH($A27,'01-Cadastro-Motos'!$A$4:$A$123,0)),""))</f>
        <v/>
      </c>
      <c r="E27" s="15">
        <f>IF(OR($A27="",$D27=""),"",$C27*'00-Parametros'!$C$13*($D27/30))</f>
        <v/>
      </c>
      <c r="F27" s="15">
        <f>IF(OR($A27="",$D27=""),"",$C27*'00-Parametros'!$C$14*($D27/30))</f>
        <v/>
      </c>
      <c r="G27" s="19">
        <f>IF(OR($A27="",$D27="",$D27=0),"",'00-Parametros'!$C$15/$D27)</f>
        <v/>
      </c>
    </row>
    <row r="28">
      <c r="A28" s="18">
        <f>IF('01-Cadastro-Motos'!$A28="","",'01-Cadastro-Motos'!$A28)</f>
        <v/>
      </c>
      <c r="B28" s="18">
        <f>IF($A28="","",IFERROR(INDEX('01-Cadastro-Motos'!$B$4:$B$123,MATCH($A28,'01-Cadastro-Motos'!$A$4:$A$123,0)),""))</f>
        <v/>
      </c>
      <c r="C28" s="15">
        <f>IF($A28="","",IFERROR(INDEX('01-Cadastro-Motos'!$I$4:$I$123,MATCH($A28,'01-Cadastro-Motos'!$A$4:$A$123,0)),""))</f>
        <v/>
      </c>
      <c r="D28" s="18">
        <f>IF($A28="","",IFERROR(INDEX('01-Cadastro-Motos'!$P$4:$P$123,MATCH($A28,'01-Cadastro-Motos'!$A$4:$A$123,0)),""))</f>
        <v/>
      </c>
      <c r="E28" s="15">
        <f>IF(OR($A28="",$D28=""),"",$C28*'00-Parametros'!$C$13*($D28/30))</f>
        <v/>
      </c>
      <c r="F28" s="15">
        <f>IF(OR($A28="",$D28=""),"",$C28*'00-Parametros'!$C$14*($D28/30))</f>
        <v/>
      </c>
      <c r="G28" s="19">
        <f>IF(OR($A28="",$D28="",$D28=0),"",'00-Parametros'!$C$15/$D28)</f>
        <v/>
      </c>
    </row>
    <row r="29">
      <c r="A29" s="18">
        <f>IF('01-Cadastro-Motos'!$A29="","",'01-Cadastro-Motos'!$A29)</f>
        <v/>
      </c>
      <c r="B29" s="18">
        <f>IF($A29="","",IFERROR(INDEX('01-Cadastro-Motos'!$B$4:$B$123,MATCH($A29,'01-Cadastro-Motos'!$A$4:$A$123,0)),""))</f>
        <v/>
      </c>
      <c r="C29" s="15">
        <f>IF($A29="","",IFERROR(INDEX('01-Cadastro-Motos'!$I$4:$I$123,MATCH($A29,'01-Cadastro-Motos'!$A$4:$A$123,0)),""))</f>
        <v/>
      </c>
      <c r="D29" s="18">
        <f>IF($A29="","",IFERROR(INDEX('01-Cadastro-Motos'!$P$4:$P$123,MATCH($A29,'01-Cadastro-Motos'!$A$4:$A$123,0)),""))</f>
        <v/>
      </c>
      <c r="E29" s="15">
        <f>IF(OR($A29="",$D29=""),"",$C29*'00-Parametros'!$C$13*($D29/30))</f>
        <v/>
      </c>
      <c r="F29" s="15">
        <f>IF(OR($A29="",$D29=""),"",$C29*'00-Parametros'!$C$14*($D29/30))</f>
        <v/>
      </c>
      <c r="G29" s="19">
        <f>IF(OR($A29="",$D29="",$D29=0),"",'00-Parametros'!$C$15/$D29)</f>
        <v/>
      </c>
    </row>
    <row r="30">
      <c r="A30" s="18">
        <f>IF('01-Cadastro-Motos'!$A30="","",'01-Cadastro-Motos'!$A30)</f>
        <v/>
      </c>
      <c r="B30" s="18">
        <f>IF($A30="","",IFERROR(INDEX('01-Cadastro-Motos'!$B$4:$B$123,MATCH($A30,'01-Cadastro-Motos'!$A$4:$A$123,0)),""))</f>
        <v/>
      </c>
      <c r="C30" s="15">
        <f>IF($A30="","",IFERROR(INDEX('01-Cadastro-Motos'!$I$4:$I$123,MATCH($A30,'01-Cadastro-Motos'!$A$4:$A$123,0)),""))</f>
        <v/>
      </c>
      <c r="D30" s="18">
        <f>IF($A30="","",IFERROR(INDEX('01-Cadastro-Motos'!$P$4:$P$123,MATCH($A30,'01-Cadastro-Motos'!$A$4:$A$123,0)),""))</f>
        <v/>
      </c>
      <c r="E30" s="15">
        <f>IF(OR($A30="",$D30=""),"",$C30*'00-Parametros'!$C$13*($D30/30))</f>
        <v/>
      </c>
      <c r="F30" s="15">
        <f>IF(OR($A30="",$D30=""),"",$C30*'00-Parametros'!$C$14*($D30/30))</f>
        <v/>
      </c>
      <c r="G30" s="19">
        <f>IF(OR($A30="",$D30="",$D30=0),"",'00-Parametros'!$C$15/$D30)</f>
        <v/>
      </c>
    </row>
    <row r="31">
      <c r="A31" s="18">
        <f>IF('01-Cadastro-Motos'!$A31="","",'01-Cadastro-Motos'!$A31)</f>
        <v/>
      </c>
      <c r="B31" s="18">
        <f>IF($A31="","",IFERROR(INDEX('01-Cadastro-Motos'!$B$4:$B$123,MATCH($A31,'01-Cadastro-Motos'!$A$4:$A$123,0)),""))</f>
        <v/>
      </c>
      <c r="C31" s="15">
        <f>IF($A31="","",IFERROR(INDEX('01-Cadastro-Motos'!$I$4:$I$123,MATCH($A31,'01-Cadastro-Motos'!$A$4:$A$123,0)),""))</f>
        <v/>
      </c>
      <c r="D31" s="18">
        <f>IF($A31="","",IFERROR(INDEX('01-Cadastro-Motos'!$P$4:$P$123,MATCH($A31,'01-Cadastro-Motos'!$A$4:$A$123,0)),""))</f>
        <v/>
      </c>
      <c r="E31" s="15">
        <f>IF(OR($A31="",$D31=""),"",$C31*'00-Parametros'!$C$13*($D31/30))</f>
        <v/>
      </c>
      <c r="F31" s="15">
        <f>IF(OR($A31="",$D31=""),"",$C31*'00-Parametros'!$C$14*($D31/30))</f>
        <v/>
      </c>
      <c r="G31" s="19">
        <f>IF(OR($A31="",$D31="",$D31=0),"",'00-Parametros'!$C$15/$D31)</f>
        <v/>
      </c>
    </row>
    <row r="32">
      <c r="A32" s="18">
        <f>IF('01-Cadastro-Motos'!$A32="","",'01-Cadastro-Motos'!$A32)</f>
        <v/>
      </c>
      <c r="B32" s="18">
        <f>IF($A32="","",IFERROR(INDEX('01-Cadastro-Motos'!$B$4:$B$123,MATCH($A32,'01-Cadastro-Motos'!$A$4:$A$123,0)),""))</f>
        <v/>
      </c>
      <c r="C32" s="15">
        <f>IF($A32="","",IFERROR(INDEX('01-Cadastro-Motos'!$I$4:$I$123,MATCH($A32,'01-Cadastro-Motos'!$A$4:$A$123,0)),""))</f>
        <v/>
      </c>
      <c r="D32" s="18">
        <f>IF($A32="","",IFERROR(INDEX('01-Cadastro-Motos'!$P$4:$P$123,MATCH($A32,'01-Cadastro-Motos'!$A$4:$A$123,0)),""))</f>
        <v/>
      </c>
      <c r="E32" s="15">
        <f>IF(OR($A32="",$D32=""),"",$C32*'00-Parametros'!$C$13*($D32/30))</f>
        <v/>
      </c>
      <c r="F32" s="15">
        <f>IF(OR($A32="",$D32=""),"",$C32*'00-Parametros'!$C$14*($D32/30))</f>
        <v/>
      </c>
      <c r="G32" s="19">
        <f>IF(OR($A32="",$D32="",$D32=0),"",'00-Parametros'!$C$15/$D32)</f>
        <v/>
      </c>
    </row>
    <row r="33">
      <c r="A33" s="18">
        <f>IF('01-Cadastro-Motos'!$A33="","",'01-Cadastro-Motos'!$A33)</f>
        <v/>
      </c>
      <c r="B33" s="18">
        <f>IF($A33="","",IFERROR(INDEX('01-Cadastro-Motos'!$B$4:$B$123,MATCH($A33,'01-Cadastro-Motos'!$A$4:$A$123,0)),""))</f>
        <v/>
      </c>
      <c r="C33" s="15">
        <f>IF($A33="","",IFERROR(INDEX('01-Cadastro-Motos'!$I$4:$I$123,MATCH($A33,'01-Cadastro-Motos'!$A$4:$A$123,0)),""))</f>
        <v/>
      </c>
      <c r="D33" s="18">
        <f>IF($A33="","",IFERROR(INDEX('01-Cadastro-Motos'!$P$4:$P$123,MATCH($A33,'01-Cadastro-Motos'!$A$4:$A$123,0)),""))</f>
        <v/>
      </c>
      <c r="E33" s="15">
        <f>IF(OR($A33="",$D33=""),"",$C33*'00-Parametros'!$C$13*($D33/30))</f>
        <v/>
      </c>
      <c r="F33" s="15">
        <f>IF(OR($A33="",$D33=""),"",$C33*'00-Parametros'!$C$14*($D33/30))</f>
        <v/>
      </c>
      <c r="G33" s="19">
        <f>IF(OR($A33="",$D33="",$D33=0),"",'00-Parametros'!$C$15/$D33)</f>
        <v/>
      </c>
    </row>
    <row r="34">
      <c r="A34" s="18">
        <f>IF('01-Cadastro-Motos'!$A34="","",'01-Cadastro-Motos'!$A34)</f>
        <v/>
      </c>
      <c r="B34" s="18">
        <f>IF($A34="","",IFERROR(INDEX('01-Cadastro-Motos'!$B$4:$B$123,MATCH($A34,'01-Cadastro-Motos'!$A$4:$A$123,0)),""))</f>
        <v/>
      </c>
      <c r="C34" s="15">
        <f>IF($A34="","",IFERROR(INDEX('01-Cadastro-Motos'!$I$4:$I$123,MATCH($A34,'01-Cadastro-Motos'!$A$4:$A$123,0)),""))</f>
        <v/>
      </c>
      <c r="D34" s="18">
        <f>IF($A34="","",IFERROR(INDEX('01-Cadastro-Motos'!$P$4:$P$123,MATCH($A34,'01-Cadastro-Motos'!$A$4:$A$123,0)),""))</f>
        <v/>
      </c>
      <c r="E34" s="15">
        <f>IF(OR($A34="",$D34=""),"",$C34*'00-Parametros'!$C$13*($D34/30))</f>
        <v/>
      </c>
      <c r="F34" s="15">
        <f>IF(OR($A34="",$D34=""),"",$C34*'00-Parametros'!$C$14*($D34/30))</f>
        <v/>
      </c>
      <c r="G34" s="19">
        <f>IF(OR($A34="",$D34="",$D34=0),"",'00-Parametros'!$C$15/$D34)</f>
        <v/>
      </c>
    </row>
    <row r="35">
      <c r="A35" s="18">
        <f>IF('01-Cadastro-Motos'!$A35="","",'01-Cadastro-Motos'!$A35)</f>
        <v/>
      </c>
      <c r="B35" s="18">
        <f>IF($A35="","",IFERROR(INDEX('01-Cadastro-Motos'!$B$4:$B$123,MATCH($A35,'01-Cadastro-Motos'!$A$4:$A$123,0)),""))</f>
        <v/>
      </c>
      <c r="C35" s="15">
        <f>IF($A35="","",IFERROR(INDEX('01-Cadastro-Motos'!$I$4:$I$123,MATCH($A35,'01-Cadastro-Motos'!$A$4:$A$123,0)),""))</f>
        <v/>
      </c>
      <c r="D35" s="18">
        <f>IF($A35="","",IFERROR(INDEX('01-Cadastro-Motos'!$P$4:$P$123,MATCH($A35,'01-Cadastro-Motos'!$A$4:$A$123,0)),""))</f>
        <v/>
      </c>
      <c r="E35" s="15">
        <f>IF(OR($A35="",$D35=""),"",$C35*'00-Parametros'!$C$13*($D35/30))</f>
        <v/>
      </c>
      <c r="F35" s="15">
        <f>IF(OR($A35="",$D35=""),"",$C35*'00-Parametros'!$C$14*($D35/30))</f>
        <v/>
      </c>
      <c r="G35" s="19">
        <f>IF(OR($A35="",$D35="",$D35=0),"",'00-Parametros'!$C$15/$D35)</f>
        <v/>
      </c>
    </row>
    <row r="36">
      <c r="A36" s="18">
        <f>IF('01-Cadastro-Motos'!$A36="","",'01-Cadastro-Motos'!$A36)</f>
        <v/>
      </c>
      <c r="B36" s="18">
        <f>IF($A36="","",IFERROR(INDEX('01-Cadastro-Motos'!$B$4:$B$123,MATCH($A36,'01-Cadastro-Motos'!$A$4:$A$123,0)),""))</f>
        <v/>
      </c>
      <c r="C36" s="15">
        <f>IF($A36="","",IFERROR(INDEX('01-Cadastro-Motos'!$I$4:$I$123,MATCH($A36,'01-Cadastro-Motos'!$A$4:$A$123,0)),""))</f>
        <v/>
      </c>
      <c r="D36" s="18">
        <f>IF($A36="","",IFERROR(INDEX('01-Cadastro-Motos'!$P$4:$P$123,MATCH($A36,'01-Cadastro-Motos'!$A$4:$A$123,0)),""))</f>
        <v/>
      </c>
      <c r="E36" s="15">
        <f>IF(OR($A36="",$D36=""),"",$C36*'00-Parametros'!$C$13*($D36/30))</f>
        <v/>
      </c>
      <c r="F36" s="15">
        <f>IF(OR($A36="",$D36=""),"",$C36*'00-Parametros'!$C$14*($D36/30))</f>
        <v/>
      </c>
      <c r="G36" s="19">
        <f>IF(OR($A36="",$D36="",$D36=0),"",'00-Parametros'!$C$15/$D36)</f>
        <v/>
      </c>
    </row>
    <row r="37">
      <c r="A37" s="18">
        <f>IF('01-Cadastro-Motos'!$A37="","",'01-Cadastro-Motos'!$A37)</f>
        <v/>
      </c>
      <c r="B37" s="18">
        <f>IF($A37="","",IFERROR(INDEX('01-Cadastro-Motos'!$B$4:$B$123,MATCH($A37,'01-Cadastro-Motos'!$A$4:$A$123,0)),""))</f>
        <v/>
      </c>
      <c r="C37" s="15">
        <f>IF($A37="","",IFERROR(INDEX('01-Cadastro-Motos'!$I$4:$I$123,MATCH($A37,'01-Cadastro-Motos'!$A$4:$A$123,0)),""))</f>
        <v/>
      </c>
      <c r="D37" s="18">
        <f>IF($A37="","",IFERROR(INDEX('01-Cadastro-Motos'!$P$4:$P$123,MATCH($A37,'01-Cadastro-Motos'!$A$4:$A$123,0)),""))</f>
        <v/>
      </c>
      <c r="E37" s="15">
        <f>IF(OR($A37="",$D37=""),"",$C37*'00-Parametros'!$C$13*($D37/30))</f>
        <v/>
      </c>
      <c r="F37" s="15">
        <f>IF(OR($A37="",$D37=""),"",$C37*'00-Parametros'!$C$14*($D37/30))</f>
        <v/>
      </c>
      <c r="G37" s="19">
        <f>IF(OR($A37="",$D37="",$D37=0),"",'00-Parametros'!$C$15/$D37)</f>
        <v/>
      </c>
    </row>
    <row r="38">
      <c r="A38" s="18">
        <f>IF('01-Cadastro-Motos'!$A38="","",'01-Cadastro-Motos'!$A38)</f>
        <v/>
      </c>
      <c r="B38" s="18">
        <f>IF($A38="","",IFERROR(INDEX('01-Cadastro-Motos'!$B$4:$B$123,MATCH($A38,'01-Cadastro-Motos'!$A$4:$A$123,0)),""))</f>
        <v/>
      </c>
      <c r="C38" s="15">
        <f>IF($A38="","",IFERROR(INDEX('01-Cadastro-Motos'!$I$4:$I$123,MATCH($A38,'01-Cadastro-Motos'!$A$4:$A$123,0)),""))</f>
        <v/>
      </c>
      <c r="D38" s="18">
        <f>IF($A38="","",IFERROR(INDEX('01-Cadastro-Motos'!$P$4:$P$123,MATCH($A38,'01-Cadastro-Motos'!$A$4:$A$123,0)),""))</f>
        <v/>
      </c>
      <c r="E38" s="15">
        <f>IF(OR($A38="",$D38=""),"",$C38*'00-Parametros'!$C$13*($D38/30))</f>
        <v/>
      </c>
      <c r="F38" s="15">
        <f>IF(OR($A38="",$D38=""),"",$C38*'00-Parametros'!$C$14*($D38/30))</f>
        <v/>
      </c>
      <c r="G38" s="19">
        <f>IF(OR($A38="",$D38="",$D38=0),"",'00-Parametros'!$C$15/$D38)</f>
        <v/>
      </c>
    </row>
    <row r="39">
      <c r="A39" s="18">
        <f>IF('01-Cadastro-Motos'!$A39="","",'01-Cadastro-Motos'!$A39)</f>
        <v/>
      </c>
      <c r="B39" s="18">
        <f>IF($A39="","",IFERROR(INDEX('01-Cadastro-Motos'!$B$4:$B$123,MATCH($A39,'01-Cadastro-Motos'!$A$4:$A$123,0)),""))</f>
        <v/>
      </c>
      <c r="C39" s="15">
        <f>IF($A39="","",IFERROR(INDEX('01-Cadastro-Motos'!$I$4:$I$123,MATCH($A39,'01-Cadastro-Motos'!$A$4:$A$123,0)),""))</f>
        <v/>
      </c>
      <c r="D39" s="18">
        <f>IF($A39="","",IFERROR(INDEX('01-Cadastro-Motos'!$P$4:$P$123,MATCH($A39,'01-Cadastro-Motos'!$A$4:$A$123,0)),""))</f>
        <v/>
      </c>
      <c r="E39" s="15">
        <f>IF(OR($A39="",$D39=""),"",$C39*'00-Parametros'!$C$13*($D39/30))</f>
        <v/>
      </c>
      <c r="F39" s="15">
        <f>IF(OR($A39="",$D39=""),"",$C39*'00-Parametros'!$C$14*($D39/30))</f>
        <v/>
      </c>
      <c r="G39" s="19">
        <f>IF(OR($A39="",$D39="",$D39=0),"",'00-Parametros'!$C$15/$D39)</f>
        <v/>
      </c>
    </row>
    <row r="40">
      <c r="A40" s="18">
        <f>IF('01-Cadastro-Motos'!$A40="","",'01-Cadastro-Motos'!$A40)</f>
        <v/>
      </c>
      <c r="B40" s="18">
        <f>IF($A40="","",IFERROR(INDEX('01-Cadastro-Motos'!$B$4:$B$123,MATCH($A40,'01-Cadastro-Motos'!$A$4:$A$123,0)),""))</f>
        <v/>
      </c>
      <c r="C40" s="15">
        <f>IF($A40="","",IFERROR(INDEX('01-Cadastro-Motos'!$I$4:$I$123,MATCH($A40,'01-Cadastro-Motos'!$A$4:$A$123,0)),""))</f>
        <v/>
      </c>
      <c r="D40" s="18">
        <f>IF($A40="","",IFERROR(INDEX('01-Cadastro-Motos'!$P$4:$P$123,MATCH($A40,'01-Cadastro-Motos'!$A$4:$A$123,0)),""))</f>
        <v/>
      </c>
      <c r="E40" s="15">
        <f>IF(OR($A40="",$D40=""),"",$C40*'00-Parametros'!$C$13*($D40/30))</f>
        <v/>
      </c>
      <c r="F40" s="15">
        <f>IF(OR($A40="",$D40=""),"",$C40*'00-Parametros'!$C$14*($D40/30))</f>
        <v/>
      </c>
      <c r="G40" s="19">
        <f>IF(OR($A40="",$D40="",$D40=0),"",'00-Parametros'!$C$15/$D40)</f>
        <v/>
      </c>
    </row>
    <row r="41">
      <c r="A41" s="18">
        <f>IF('01-Cadastro-Motos'!$A41="","",'01-Cadastro-Motos'!$A41)</f>
        <v/>
      </c>
      <c r="B41" s="18">
        <f>IF($A41="","",IFERROR(INDEX('01-Cadastro-Motos'!$B$4:$B$123,MATCH($A41,'01-Cadastro-Motos'!$A$4:$A$123,0)),""))</f>
        <v/>
      </c>
      <c r="C41" s="15">
        <f>IF($A41="","",IFERROR(INDEX('01-Cadastro-Motos'!$I$4:$I$123,MATCH($A41,'01-Cadastro-Motos'!$A$4:$A$123,0)),""))</f>
        <v/>
      </c>
      <c r="D41" s="18">
        <f>IF($A41="","",IFERROR(INDEX('01-Cadastro-Motos'!$P$4:$P$123,MATCH($A41,'01-Cadastro-Motos'!$A$4:$A$123,0)),""))</f>
        <v/>
      </c>
      <c r="E41" s="15">
        <f>IF(OR($A41="",$D41=""),"",$C41*'00-Parametros'!$C$13*($D41/30))</f>
        <v/>
      </c>
      <c r="F41" s="15">
        <f>IF(OR($A41="",$D41=""),"",$C41*'00-Parametros'!$C$14*($D41/30))</f>
        <v/>
      </c>
      <c r="G41" s="19">
        <f>IF(OR($A41="",$D41="",$D41=0),"",'00-Parametros'!$C$15/$D41)</f>
        <v/>
      </c>
    </row>
    <row r="42">
      <c r="A42" s="18">
        <f>IF('01-Cadastro-Motos'!$A42="","",'01-Cadastro-Motos'!$A42)</f>
        <v/>
      </c>
      <c r="B42" s="18">
        <f>IF($A42="","",IFERROR(INDEX('01-Cadastro-Motos'!$B$4:$B$123,MATCH($A42,'01-Cadastro-Motos'!$A$4:$A$123,0)),""))</f>
        <v/>
      </c>
      <c r="C42" s="15">
        <f>IF($A42="","",IFERROR(INDEX('01-Cadastro-Motos'!$I$4:$I$123,MATCH($A42,'01-Cadastro-Motos'!$A$4:$A$123,0)),""))</f>
        <v/>
      </c>
      <c r="D42" s="18">
        <f>IF($A42="","",IFERROR(INDEX('01-Cadastro-Motos'!$P$4:$P$123,MATCH($A42,'01-Cadastro-Motos'!$A$4:$A$123,0)),""))</f>
        <v/>
      </c>
      <c r="E42" s="15">
        <f>IF(OR($A42="",$D42=""),"",$C42*'00-Parametros'!$C$13*($D42/30))</f>
        <v/>
      </c>
      <c r="F42" s="15">
        <f>IF(OR($A42="",$D42=""),"",$C42*'00-Parametros'!$C$14*($D42/30))</f>
        <v/>
      </c>
      <c r="G42" s="19">
        <f>IF(OR($A42="",$D42="",$D42=0),"",'00-Parametros'!$C$15/$D42)</f>
        <v/>
      </c>
    </row>
    <row r="43">
      <c r="A43" s="18">
        <f>IF('01-Cadastro-Motos'!$A43="","",'01-Cadastro-Motos'!$A43)</f>
        <v/>
      </c>
      <c r="B43" s="18">
        <f>IF($A43="","",IFERROR(INDEX('01-Cadastro-Motos'!$B$4:$B$123,MATCH($A43,'01-Cadastro-Motos'!$A$4:$A$123,0)),""))</f>
        <v/>
      </c>
      <c r="C43" s="15">
        <f>IF($A43="","",IFERROR(INDEX('01-Cadastro-Motos'!$I$4:$I$123,MATCH($A43,'01-Cadastro-Motos'!$A$4:$A$123,0)),""))</f>
        <v/>
      </c>
      <c r="D43" s="18">
        <f>IF($A43="","",IFERROR(INDEX('01-Cadastro-Motos'!$P$4:$P$123,MATCH($A43,'01-Cadastro-Motos'!$A$4:$A$123,0)),""))</f>
        <v/>
      </c>
      <c r="E43" s="15">
        <f>IF(OR($A43="",$D43=""),"",$C43*'00-Parametros'!$C$13*($D43/30))</f>
        <v/>
      </c>
      <c r="F43" s="15">
        <f>IF(OR($A43="",$D43=""),"",$C43*'00-Parametros'!$C$14*($D43/30))</f>
        <v/>
      </c>
      <c r="G43" s="19">
        <f>IF(OR($A43="",$D43="",$D43=0),"",'00-Parametros'!$C$15/$D43)</f>
        <v/>
      </c>
    </row>
    <row r="44">
      <c r="A44" s="18">
        <f>IF('01-Cadastro-Motos'!$A44="","",'01-Cadastro-Motos'!$A44)</f>
        <v/>
      </c>
      <c r="B44" s="18">
        <f>IF($A44="","",IFERROR(INDEX('01-Cadastro-Motos'!$B$4:$B$123,MATCH($A44,'01-Cadastro-Motos'!$A$4:$A$123,0)),""))</f>
        <v/>
      </c>
      <c r="C44" s="15">
        <f>IF($A44="","",IFERROR(INDEX('01-Cadastro-Motos'!$I$4:$I$123,MATCH($A44,'01-Cadastro-Motos'!$A$4:$A$123,0)),""))</f>
        <v/>
      </c>
      <c r="D44" s="18">
        <f>IF($A44="","",IFERROR(INDEX('01-Cadastro-Motos'!$P$4:$P$123,MATCH($A44,'01-Cadastro-Motos'!$A$4:$A$123,0)),""))</f>
        <v/>
      </c>
      <c r="E44" s="15">
        <f>IF(OR($A44="",$D44=""),"",$C44*'00-Parametros'!$C$13*($D44/30))</f>
        <v/>
      </c>
      <c r="F44" s="15">
        <f>IF(OR($A44="",$D44=""),"",$C44*'00-Parametros'!$C$14*($D44/30))</f>
        <v/>
      </c>
      <c r="G44" s="19">
        <f>IF(OR($A44="",$D44="",$D44=0),"",'00-Parametros'!$C$15/$D44)</f>
        <v/>
      </c>
    </row>
    <row r="45">
      <c r="A45" s="18">
        <f>IF('01-Cadastro-Motos'!$A45="","",'01-Cadastro-Motos'!$A45)</f>
        <v/>
      </c>
      <c r="B45" s="18">
        <f>IF($A45="","",IFERROR(INDEX('01-Cadastro-Motos'!$B$4:$B$123,MATCH($A45,'01-Cadastro-Motos'!$A$4:$A$123,0)),""))</f>
        <v/>
      </c>
      <c r="C45" s="15">
        <f>IF($A45="","",IFERROR(INDEX('01-Cadastro-Motos'!$I$4:$I$123,MATCH($A45,'01-Cadastro-Motos'!$A$4:$A$123,0)),""))</f>
        <v/>
      </c>
      <c r="D45" s="18">
        <f>IF($A45="","",IFERROR(INDEX('01-Cadastro-Motos'!$P$4:$P$123,MATCH($A45,'01-Cadastro-Motos'!$A$4:$A$123,0)),""))</f>
        <v/>
      </c>
      <c r="E45" s="15">
        <f>IF(OR($A45="",$D45=""),"",$C45*'00-Parametros'!$C$13*($D45/30))</f>
        <v/>
      </c>
      <c r="F45" s="15">
        <f>IF(OR($A45="",$D45=""),"",$C45*'00-Parametros'!$C$14*($D45/30))</f>
        <v/>
      </c>
      <c r="G45" s="19">
        <f>IF(OR($A45="",$D45="",$D45=0),"",'00-Parametros'!$C$15/$D45)</f>
        <v/>
      </c>
    </row>
    <row r="46">
      <c r="A46" s="18">
        <f>IF('01-Cadastro-Motos'!$A46="","",'01-Cadastro-Motos'!$A46)</f>
        <v/>
      </c>
      <c r="B46" s="18">
        <f>IF($A46="","",IFERROR(INDEX('01-Cadastro-Motos'!$B$4:$B$123,MATCH($A46,'01-Cadastro-Motos'!$A$4:$A$123,0)),""))</f>
        <v/>
      </c>
      <c r="C46" s="15">
        <f>IF($A46="","",IFERROR(INDEX('01-Cadastro-Motos'!$I$4:$I$123,MATCH($A46,'01-Cadastro-Motos'!$A$4:$A$123,0)),""))</f>
        <v/>
      </c>
      <c r="D46" s="18">
        <f>IF($A46="","",IFERROR(INDEX('01-Cadastro-Motos'!$P$4:$P$123,MATCH($A46,'01-Cadastro-Motos'!$A$4:$A$123,0)),""))</f>
        <v/>
      </c>
      <c r="E46" s="15">
        <f>IF(OR($A46="",$D46=""),"",$C46*'00-Parametros'!$C$13*($D46/30))</f>
        <v/>
      </c>
      <c r="F46" s="15">
        <f>IF(OR($A46="",$D46=""),"",$C46*'00-Parametros'!$C$14*($D46/30))</f>
        <v/>
      </c>
      <c r="G46" s="19">
        <f>IF(OR($A46="",$D46="",$D46=0),"",'00-Parametros'!$C$15/$D46)</f>
        <v/>
      </c>
    </row>
    <row r="47">
      <c r="A47" s="18">
        <f>IF('01-Cadastro-Motos'!$A47="","",'01-Cadastro-Motos'!$A47)</f>
        <v/>
      </c>
      <c r="B47" s="18">
        <f>IF($A47="","",IFERROR(INDEX('01-Cadastro-Motos'!$B$4:$B$123,MATCH($A47,'01-Cadastro-Motos'!$A$4:$A$123,0)),""))</f>
        <v/>
      </c>
      <c r="C47" s="15">
        <f>IF($A47="","",IFERROR(INDEX('01-Cadastro-Motos'!$I$4:$I$123,MATCH($A47,'01-Cadastro-Motos'!$A$4:$A$123,0)),""))</f>
        <v/>
      </c>
      <c r="D47" s="18">
        <f>IF($A47="","",IFERROR(INDEX('01-Cadastro-Motos'!$P$4:$P$123,MATCH($A47,'01-Cadastro-Motos'!$A$4:$A$123,0)),""))</f>
        <v/>
      </c>
      <c r="E47" s="15">
        <f>IF(OR($A47="",$D47=""),"",$C47*'00-Parametros'!$C$13*($D47/30))</f>
        <v/>
      </c>
      <c r="F47" s="15">
        <f>IF(OR($A47="",$D47=""),"",$C47*'00-Parametros'!$C$14*($D47/30))</f>
        <v/>
      </c>
      <c r="G47" s="19">
        <f>IF(OR($A47="",$D47="",$D47=0),"",'00-Parametros'!$C$15/$D47)</f>
        <v/>
      </c>
    </row>
    <row r="48">
      <c r="A48" s="18">
        <f>IF('01-Cadastro-Motos'!$A48="","",'01-Cadastro-Motos'!$A48)</f>
        <v/>
      </c>
      <c r="B48" s="18">
        <f>IF($A48="","",IFERROR(INDEX('01-Cadastro-Motos'!$B$4:$B$123,MATCH($A48,'01-Cadastro-Motos'!$A$4:$A$123,0)),""))</f>
        <v/>
      </c>
      <c r="C48" s="15">
        <f>IF($A48="","",IFERROR(INDEX('01-Cadastro-Motos'!$I$4:$I$123,MATCH($A48,'01-Cadastro-Motos'!$A$4:$A$123,0)),""))</f>
        <v/>
      </c>
      <c r="D48" s="18">
        <f>IF($A48="","",IFERROR(INDEX('01-Cadastro-Motos'!$P$4:$P$123,MATCH($A48,'01-Cadastro-Motos'!$A$4:$A$123,0)),""))</f>
        <v/>
      </c>
      <c r="E48" s="15">
        <f>IF(OR($A48="",$D48=""),"",$C48*'00-Parametros'!$C$13*($D48/30))</f>
        <v/>
      </c>
      <c r="F48" s="15">
        <f>IF(OR($A48="",$D48=""),"",$C48*'00-Parametros'!$C$14*($D48/30))</f>
        <v/>
      </c>
      <c r="G48" s="19">
        <f>IF(OR($A48="",$D48="",$D48=0),"",'00-Parametros'!$C$15/$D48)</f>
        <v/>
      </c>
    </row>
    <row r="49">
      <c r="A49" s="18">
        <f>IF('01-Cadastro-Motos'!$A49="","",'01-Cadastro-Motos'!$A49)</f>
        <v/>
      </c>
      <c r="B49" s="18">
        <f>IF($A49="","",IFERROR(INDEX('01-Cadastro-Motos'!$B$4:$B$123,MATCH($A49,'01-Cadastro-Motos'!$A$4:$A$123,0)),""))</f>
        <v/>
      </c>
      <c r="C49" s="15">
        <f>IF($A49="","",IFERROR(INDEX('01-Cadastro-Motos'!$I$4:$I$123,MATCH($A49,'01-Cadastro-Motos'!$A$4:$A$123,0)),""))</f>
        <v/>
      </c>
      <c r="D49" s="18">
        <f>IF($A49="","",IFERROR(INDEX('01-Cadastro-Motos'!$P$4:$P$123,MATCH($A49,'01-Cadastro-Motos'!$A$4:$A$123,0)),""))</f>
        <v/>
      </c>
      <c r="E49" s="15">
        <f>IF(OR($A49="",$D49=""),"",$C49*'00-Parametros'!$C$13*($D49/30))</f>
        <v/>
      </c>
      <c r="F49" s="15">
        <f>IF(OR($A49="",$D49=""),"",$C49*'00-Parametros'!$C$14*($D49/30))</f>
        <v/>
      </c>
      <c r="G49" s="19">
        <f>IF(OR($A49="",$D49="",$D49=0),"",'00-Parametros'!$C$15/$D49)</f>
        <v/>
      </c>
    </row>
    <row r="50">
      <c r="A50" s="18">
        <f>IF('01-Cadastro-Motos'!$A50="","",'01-Cadastro-Motos'!$A50)</f>
        <v/>
      </c>
      <c r="B50" s="18">
        <f>IF($A50="","",IFERROR(INDEX('01-Cadastro-Motos'!$B$4:$B$123,MATCH($A50,'01-Cadastro-Motos'!$A$4:$A$123,0)),""))</f>
        <v/>
      </c>
      <c r="C50" s="15">
        <f>IF($A50="","",IFERROR(INDEX('01-Cadastro-Motos'!$I$4:$I$123,MATCH($A50,'01-Cadastro-Motos'!$A$4:$A$123,0)),""))</f>
        <v/>
      </c>
      <c r="D50" s="18">
        <f>IF($A50="","",IFERROR(INDEX('01-Cadastro-Motos'!$P$4:$P$123,MATCH($A50,'01-Cadastro-Motos'!$A$4:$A$123,0)),""))</f>
        <v/>
      </c>
      <c r="E50" s="15">
        <f>IF(OR($A50="",$D50=""),"",$C50*'00-Parametros'!$C$13*($D50/30))</f>
        <v/>
      </c>
      <c r="F50" s="15">
        <f>IF(OR($A50="",$D50=""),"",$C50*'00-Parametros'!$C$14*($D50/30))</f>
        <v/>
      </c>
      <c r="G50" s="19">
        <f>IF(OR($A50="",$D50="",$D50=0),"",'00-Parametros'!$C$15/$D50)</f>
        <v/>
      </c>
    </row>
    <row r="51">
      <c r="A51" s="18">
        <f>IF('01-Cadastro-Motos'!$A51="","",'01-Cadastro-Motos'!$A51)</f>
        <v/>
      </c>
      <c r="B51" s="18">
        <f>IF($A51="","",IFERROR(INDEX('01-Cadastro-Motos'!$B$4:$B$123,MATCH($A51,'01-Cadastro-Motos'!$A$4:$A$123,0)),""))</f>
        <v/>
      </c>
      <c r="C51" s="15">
        <f>IF($A51="","",IFERROR(INDEX('01-Cadastro-Motos'!$I$4:$I$123,MATCH($A51,'01-Cadastro-Motos'!$A$4:$A$123,0)),""))</f>
        <v/>
      </c>
      <c r="D51" s="18">
        <f>IF($A51="","",IFERROR(INDEX('01-Cadastro-Motos'!$P$4:$P$123,MATCH($A51,'01-Cadastro-Motos'!$A$4:$A$123,0)),""))</f>
        <v/>
      </c>
      <c r="E51" s="15">
        <f>IF(OR($A51="",$D51=""),"",$C51*'00-Parametros'!$C$13*($D51/30))</f>
        <v/>
      </c>
      <c r="F51" s="15">
        <f>IF(OR($A51="",$D51=""),"",$C51*'00-Parametros'!$C$14*($D51/30))</f>
        <v/>
      </c>
      <c r="G51" s="19">
        <f>IF(OR($A51="",$D51="",$D51=0),"",'00-Parametros'!$C$15/$D51)</f>
        <v/>
      </c>
    </row>
    <row r="52">
      <c r="A52" s="18">
        <f>IF('01-Cadastro-Motos'!$A52="","",'01-Cadastro-Motos'!$A52)</f>
        <v/>
      </c>
      <c r="B52" s="18">
        <f>IF($A52="","",IFERROR(INDEX('01-Cadastro-Motos'!$B$4:$B$123,MATCH($A52,'01-Cadastro-Motos'!$A$4:$A$123,0)),""))</f>
        <v/>
      </c>
      <c r="C52" s="15">
        <f>IF($A52="","",IFERROR(INDEX('01-Cadastro-Motos'!$I$4:$I$123,MATCH($A52,'01-Cadastro-Motos'!$A$4:$A$123,0)),""))</f>
        <v/>
      </c>
      <c r="D52" s="18">
        <f>IF($A52="","",IFERROR(INDEX('01-Cadastro-Motos'!$P$4:$P$123,MATCH($A52,'01-Cadastro-Motos'!$A$4:$A$123,0)),""))</f>
        <v/>
      </c>
      <c r="E52" s="15">
        <f>IF(OR($A52="",$D52=""),"",$C52*'00-Parametros'!$C$13*($D52/30))</f>
        <v/>
      </c>
      <c r="F52" s="15">
        <f>IF(OR($A52="",$D52=""),"",$C52*'00-Parametros'!$C$14*($D52/30))</f>
        <v/>
      </c>
      <c r="G52" s="19">
        <f>IF(OR($A52="",$D52="",$D52=0),"",'00-Parametros'!$C$15/$D52)</f>
        <v/>
      </c>
    </row>
    <row r="53">
      <c r="A53" s="18">
        <f>IF('01-Cadastro-Motos'!$A53="","",'01-Cadastro-Motos'!$A53)</f>
        <v/>
      </c>
      <c r="B53" s="18">
        <f>IF($A53="","",IFERROR(INDEX('01-Cadastro-Motos'!$B$4:$B$123,MATCH($A53,'01-Cadastro-Motos'!$A$4:$A$123,0)),""))</f>
        <v/>
      </c>
      <c r="C53" s="15">
        <f>IF($A53="","",IFERROR(INDEX('01-Cadastro-Motos'!$I$4:$I$123,MATCH($A53,'01-Cadastro-Motos'!$A$4:$A$123,0)),""))</f>
        <v/>
      </c>
      <c r="D53" s="18">
        <f>IF($A53="","",IFERROR(INDEX('01-Cadastro-Motos'!$P$4:$P$123,MATCH($A53,'01-Cadastro-Motos'!$A$4:$A$123,0)),""))</f>
        <v/>
      </c>
      <c r="E53" s="15">
        <f>IF(OR($A53="",$D53=""),"",$C53*'00-Parametros'!$C$13*($D53/30))</f>
        <v/>
      </c>
      <c r="F53" s="15">
        <f>IF(OR($A53="",$D53=""),"",$C53*'00-Parametros'!$C$14*($D53/30))</f>
        <v/>
      </c>
      <c r="G53" s="19">
        <f>IF(OR($A53="",$D53="",$D53=0),"",'00-Parametros'!$C$15/$D53)</f>
        <v/>
      </c>
    </row>
    <row r="54">
      <c r="A54" s="18">
        <f>IF('01-Cadastro-Motos'!$A54="","",'01-Cadastro-Motos'!$A54)</f>
        <v/>
      </c>
      <c r="B54" s="18">
        <f>IF($A54="","",IFERROR(INDEX('01-Cadastro-Motos'!$B$4:$B$123,MATCH($A54,'01-Cadastro-Motos'!$A$4:$A$123,0)),""))</f>
        <v/>
      </c>
      <c r="C54" s="15">
        <f>IF($A54="","",IFERROR(INDEX('01-Cadastro-Motos'!$I$4:$I$123,MATCH($A54,'01-Cadastro-Motos'!$A$4:$A$123,0)),""))</f>
        <v/>
      </c>
      <c r="D54" s="18">
        <f>IF($A54="","",IFERROR(INDEX('01-Cadastro-Motos'!$P$4:$P$123,MATCH($A54,'01-Cadastro-Motos'!$A$4:$A$123,0)),""))</f>
        <v/>
      </c>
      <c r="E54" s="15">
        <f>IF(OR($A54="",$D54=""),"",$C54*'00-Parametros'!$C$13*($D54/30))</f>
        <v/>
      </c>
      <c r="F54" s="15">
        <f>IF(OR($A54="",$D54=""),"",$C54*'00-Parametros'!$C$14*($D54/30))</f>
        <v/>
      </c>
      <c r="G54" s="19">
        <f>IF(OR($A54="",$D54="",$D54=0),"",'00-Parametros'!$C$15/$D54)</f>
        <v/>
      </c>
    </row>
    <row r="55">
      <c r="A55" s="18">
        <f>IF('01-Cadastro-Motos'!$A55="","",'01-Cadastro-Motos'!$A55)</f>
        <v/>
      </c>
      <c r="B55" s="18">
        <f>IF($A55="","",IFERROR(INDEX('01-Cadastro-Motos'!$B$4:$B$123,MATCH($A55,'01-Cadastro-Motos'!$A$4:$A$123,0)),""))</f>
        <v/>
      </c>
      <c r="C55" s="15">
        <f>IF($A55="","",IFERROR(INDEX('01-Cadastro-Motos'!$I$4:$I$123,MATCH($A55,'01-Cadastro-Motos'!$A$4:$A$123,0)),""))</f>
        <v/>
      </c>
      <c r="D55" s="18">
        <f>IF($A55="","",IFERROR(INDEX('01-Cadastro-Motos'!$P$4:$P$123,MATCH($A55,'01-Cadastro-Motos'!$A$4:$A$123,0)),""))</f>
        <v/>
      </c>
      <c r="E55" s="15">
        <f>IF(OR($A55="",$D55=""),"",$C55*'00-Parametros'!$C$13*($D55/30))</f>
        <v/>
      </c>
      <c r="F55" s="15">
        <f>IF(OR($A55="",$D55=""),"",$C55*'00-Parametros'!$C$14*($D55/30))</f>
        <v/>
      </c>
      <c r="G55" s="19">
        <f>IF(OR($A55="",$D55="",$D55=0),"",'00-Parametros'!$C$15/$D55)</f>
        <v/>
      </c>
    </row>
    <row r="56">
      <c r="A56" s="18">
        <f>IF('01-Cadastro-Motos'!$A56="","",'01-Cadastro-Motos'!$A56)</f>
        <v/>
      </c>
      <c r="B56" s="18">
        <f>IF($A56="","",IFERROR(INDEX('01-Cadastro-Motos'!$B$4:$B$123,MATCH($A56,'01-Cadastro-Motos'!$A$4:$A$123,0)),""))</f>
        <v/>
      </c>
      <c r="C56" s="15">
        <f>IF($A56="","",IFERROR(INDEX('01-Cadastro-Motos'!$I$4:$I$123,MATCH($A56,'01-Cadastro-Motos'!$A$4:$A$123,0)),""))</f>
        <v/>
      </c>
      <c r="D56" s="18">
        <f>IF($A56="","",IFERROR(INDEX('01-Cadastro-Motos'!$P$4:$P$123,MATCH($A56,'01-Cadastro-Motos'!$A$4:$A$123,0)),""))</f>
        <v/>
      </c>
      <c r="E56" s="15">
        <f>IF(OR($A56="",$D56=""),"",$C56*'00-Parametros'!$C$13*($D56/30))</f>
        <v/>
      </c>
      <c r="F56" s="15">
        <f>IF(OR($A56="",$D56=""),"",$C56*'00-Parametros'!$C$14*($D56/30))</f>
        <v/>
      </c>
      <c r="G56" s="19">
        <f>IF(OR($A56="",$D56="",$D56=0),"",'00-Parametros'!$C$15/$D56)</f>
        <v/>
      </c>
    </row>
    <row r="57">
      <c r="A57" s="18">
        <f>IF('01-Cadastro-Motos'!$A57="","",'01-Cadastro-Motos'!$A57)</f>
        <v/>
      </c>
      <c r="B57" s="18">
        <f>IF($A57="","",IFERROR(INDEX('01-Cadastro-Motos'!$B$4:$B$123,MATCH($A57,'01-Cadastro-Motos'!$A$4:$A$123,0)),""))</f>
        <v/>
      </c>
      <c r="C57" s="15">
        <f>IF($A57="","",IFERROR(INDEX('01-Cadastro-Motos'!$I$4:$I$123,MATCH($A57,'01-Cadastro-Motos'!$A$4:$A$123,0)),""))</f>
        <v/>
      </c>
      <c r="D57" s="18">
        <f>IF($A57="","",IFERROR(INDEX('01-Cadastro-Motos'!$P$4:$P$123,MATCH($A57,'01-Cadastro-Motos'!$A$4:$A$123,0)),""))</f>
        <v/>
      </c>
      <c r="E57" s="15">
        <f>IF(OR($A57="",$D57=""),"",$C57*'00-Parametros'!$C$13*($D57/30))</f>
        <v/>
      </c>
      <c r="F57" s="15">
        <f>IF(OR($A57="",$D57=""),"",$C57*'00-Parametros'!$C$14*($D57/30))</f>
        <v/>
      </c>
      <c r="G57" s="19">
        <f>IF(OR($A57="",$D57="",$D57=0),"",'00-Parametros'!$C$15/$D57)</f>
        <v/>
      </c>
    </row>
    <row r="58">
      <c r="A58" s="18">
        <f>IF('01-Cadastro-Motos'!$A58="","",'01-Cadastro-Motos'!$A58)</f>
        <v/>
      </c>
      <c r="B58" s="18">
        <f>IF($A58="","",IFERROR(INDEX('01-Cadastro-Motos'!$B$4:$B$123,MATCH($A58,'01-Cadastro-Motos'!$A$4:$A$123,0)),""))</f>
        <v/>
      </c>
      <c r="C58" s="15">
        <f>IF($A58="","",IFERROR(INDEX('01-Cadastro-Motos'!$I$4:$I$123,MATCH($A58,'01-Cadastro-Motos'!$A$4:$A$123,0)),""))</f>
        <v/>
      </c>
      <c r="D58" s="18">
        <f>IF($A58="","",IFERROR(INDEX('01-Cadastro-Motos'!$P$4:$P$123,MATCH($A58,'01-Cadastro-Motos'!$A$4:$A$123,0)),""))</f>
        <v/>
      </c>
      <c r="E58" s="15">
        <f>IF(OR($A58="",$D58=""),"",$C58*'00-Parametros'!$C$13*($D58/30))</f>
        <v/>
      </c>
      <c r="F58" s="15">
        <f>IF(OR($A58="",$D58=""),"",$C58*'00-Parametros'!$C$14*($D58/30))</f>
        <v/>
      </c>
      <c r="G58" s="19">
        <f>IF(OR($A58="",$D58="",$D58=0),"",'00-Parametros'!$C$15/$D58)</f>
        <v/>
      </c>
    </row>
    <row r="59">
      <c r="A59" s="18">
        <f>IF('01-Cadastro-Motos'!$A59="","",'01-Cadastro-Motos'!$A59)</f>
        <v/>
      </c>
      <c r="B59" s="18">
        <f>IF($A59="","",IFERROR(INDEX('01-Cadastro-Motos'!$B$4:$B$123,MATCH($A59,'01-Cadastro-Motos'!$A$4:$A$123,0)),""))</f>
        <v/>
      </c>
      <c r="C59" s="15">
        <f>IF($A59="","",IFERROR(INDEX('01-Cadastro-Motos'!$I$4:$I$123,MATCH($A59,'01-Cadastro-Motos'!$A$4:$A$123,0)),""))</f>
        <v/>
      </c>
      <c r="D59" s="18">
        <f>IF($A59="","",IFERROR(INDEX('01-Cadastro-Motos'!$P$4:$P$123,MATCH($A59,'01-Cadastro-Motos'!$A$4:$A$123,0)),""))</f>
        <v/>
      </c>
      <c r="E59" s="15">
        <f>IF(OR($A59="",$D59=""),"",$C59*'00-Parametros'!$C$13*($D59/30))</f>
        <v/>
      </c>
      <c r="F59" s="15">
        <f>IF(OR($A59="",$D59=""),"",$C59*'00-Parametros'!$C$14*($D59/30))</f>
        <v/>
      </c>
      <c r="G59" s="19">
        <f>IF(OR($A59="",$D59="",$D59=0),"",'00-Parametros'!$C$15/$D59)</f>
        <v/>
      </c>
    </row>
    <row r="60">
      <c r="A60" s="18">
        <f>IF('01-Cadastro-Motos'!$A60="","",'01-Cadastro-Motos'!$A60)</f>
        <v/>
      </c>
      <c r="B60" s="18">
        <f>IF($A60="","",IFERROR(INDEX('01-Cadastro-Motos'!$B$4:$B$123,MATCH($A60,'01-Cadastro-Motos'!$A$4:$A$123,0)),""))</f>
        <v/>
      </c>
      <c r="C60" s="15">
        <f>IF($A60="","",IFERROR(INDEX('01-Cadastro-Motos'!$I$4:$I$123,MATCH($A60,'01-Cadastro-Motos'!$A$4:$A$123,0)),""))</f>
        <v/>
      </c>
      <c r="D60" s="18">
        <f>IF($A60="","",IFERROR(INDEX('01-Cadastro-Motos'!$P$4:$P$123,MATCH($A60,'01-Cadastro-Motos'!$A$4:$A$123,0)),""))</f>
        <v/>
      </c>
      <c r="E60" s="15">
        <f>IF(OR($A60="",$D60=""),"",$C60*'00-Parametros'!$C$13*($D60/30))</f>
        <v/>
      </c>
      <c r="F60" s="15">
        <f>IF(OR($A60="",$D60=""),"",$C60*'00-Parametros'!$C$14*($D60/30))</f>
        <v/>
      </c>
      <c r="G60" s="19">
        <f>IF(OR($A60="",$D60="",$D60=0),"",'00-Parametros'!$C$15/$D60)</f>
        <v/>
      </c>
    </row>
    <row r="61">
      <c r="A61" s="18">
        <f>IF('01-Cadastro-Motos'!$A61="","",'01-Cadastro-Motos'!$A61)</f>
        <v/>
      </c>
      <c r="B61" s="18">
        <f>IF($A61="","",IFERROR(INDEX('01-Cadastro-Motos'!$B$4:$B$123,MATCH($A61,'01-Cadastro-Motos'!$A$4:$A$123,0)),""))</f>
        <v/>
      </c>
      <c r="C61" s="15">
        <f>IF($A61="","",IFERROR(INDEX('01-Cadastro-Motos'!$I$4:$I$123,MATCH($A61,'01-Cadastro-Motos'!$A$4:$A$123,0)),""))</f>
        <v/>
      </c>
      <c r="D61" s="18">
        <f>IF($A61="","",IFERROR(INDEX('01-Cadastro-Motos'!$P$4:$P$123,MATCH($A61,'01-Cadastro-Motos'!$A$4:$A$123,0)),""))</f>
        <v/>
      </c>
      <c r="E61" s="15">
        <f>IF(OR($A61="",$D61=""),"",$C61*'00-Parametros'!$C$13*($D61/30))</f>
        <v/>
      </c>
      <c r="F61" s="15">
        <f>IF(OR($A61="",$D61=""),"",$C61*'00-Parametros'!$C$14*($D61/30))</f>
        <v/>
      </c>
      <c r="G61" s="19">
        <f>IF(OR($A61="",$D61="",$D61=0),"",'00-Parametros'!$C$15/$D61)</f>
        <v/>
      </c>
    </row>
    <row r="62">
      <c r="A62" s="18">
        <f>IF('01-Cadastro-Motos'!$A62="","",'01-Cadastro-Motos'!$A62)</f>
        <v/>
      </c>
      <c r="B62" s="18">
        <f>IF($A62="","",IFERROR(INDEX('01-Cadastro-Motos'!$B$4:$B$123,MATCH($A62,'01-Cadastro-Motos'!$A$4:$A$123,0)),""))</f>
        <v/>
      </c>
      <c r="C62" s="15">
        <f>IF($A62="","",IFERROR(INDEX('01-Cadastro-Motos'!$I$4:$I$123,MATCH($A62,'01-Cadastro-Motos'!$A$4:$A$123,0)),""))</f>
        <v/>
      </c>
      <c r="D62" s="18">
        <f>IF($A62="","",IFERROR(INDEX('01-Cadastro-Motos'!$P$4:$P$123,MATCH($A62,'01-Cadastro-Motos'!$A$4:$A$123,0)),""))</f>
        <v/>
      </c>
      <c r="E62" s="15">
        <f>IF(OR($A62="",$D62=""),"",$C62*'00-Parametros'!$C$13*($D62/30))</f>
        <v/>
      </c>
      <c r="F62" s="15">
        <f>IF(OR($A62="",$D62=""),"",$C62*'00-Parametros'!$C$14*($D62/30))</f>
        <v/>
      </c>
      <c r="G62" s="19">
        <f>IF(OR($A62="",$D62="",$D62=0),"",'00-Parametros'!$C$15/$D62)</f>
        <v/>
      </c>
    </row>
    <row r="63">
      <c r="A63" s="18">
        <f>IF('01-Cadastro-Motos'!$A63="","",'01-Cadastro-Motos'!$A63)</f>
        <v/>
      </c>
      <c r="B63" s="18">
        <f>IF($A63="","",IFERROR(INDEX('01-Cadastro-Motos'!$B$4:$B$123,MATCH($A63,'01-Cadastro-Motos'!$A$4:$A$123,0)),""))</f>
        <v/>
      </c>
      <c r="C63" s="15">
        <f>IF($A63="","",IFERROR(INDEX('01-Cadastro-Motos'!$I$4:$I$123,MATCH($A63,'01-Cadastro-Motos'!$A$4:$A$123,0)),""))</f>
        <v/>
      </c>
      <c r="D63" s="18">
        <f>IF($A63="","",IFERROR(INDEX('01-Cadastro-Motos'!$P$4:$P$123,MATCH($A63,'01-Cadastro-Motos'!$A$4:$A$123,0)),""))</f>
        <v/>
      </c>
      <c r="E63" s="15">
        <f>IF(OR($A63="",$D63=""),"",$C63*'00-Parametros'!$C$13*($D63/30))</f>
        <v/>
      </c>
      <c r="F63" s="15">
        <f>IF(OR($A63="",$D63=""),"",$C63*'00-Parametros'!$C$14*($D63/30))</f>
        <v/>
      </c>
      <c r="G63" s="19">
        <f>IF(OR($A63="",$D63="",$D63=0),"",'00-Parametros'!$C$15/$D63)</f>
        <v/>
      </c>
    </row>
    <row r="64">
      <c r="A64" s="18">
        <f>IF('01-Cadastro-Motos'!$A64="","",'01-Cadastro-Motos'!$A64)</f>
        <v/>
      </c>
      <c r="B64" s="18">
        <f>IF($A64="","",IFERROR(INDEX('01-Cadastro-Motos'!$B$4:$B$123,MATCH($A64,'01-Cadastro-Motos'!$A$4:$A$123,0)),""))</f>
        <v/>
      </c>
      <c r="C64" s="15">
        <f>IF($A64="","",IFERROR(INDEX('01-Cadastro-Motos'!$I$4:$I$123,MATCH($A64,'01-Cadastro-Motos'!$A$4:$A$123,0)),""))</f>
        <v/>
      </c>
      <c r="D64" s="18">
        <f>IF($A64="","",IFERROR(INDEX('01-Cadastro-Motos'!$P$4:$P$123,MATCH($A64,'01-Cadastro-Motos'!$A$4:$A$123,0)),""))</f>
        <v/>
      </c>
      <c r="E64" s="15">
        <f>IF(OR($A64="",$D64=""),"",$C64*'00-Parametros'!$C$13*($D64/30))</f>
        <v/>
      </c>
      <c r="F64" s="15">
        <f>IF(OR($A64="",$D64=""),"",$C64*'00-Parametros'!$C$14*($D64/30))</f>
        <v/>
      </c>
      <c r="G64" s="19">
        <f>IF(OR($A64="",$D64="",$D64=0),"",'00-Parametros'!$C$15/$D64)</f>
        <v/>
      </c>
    </row>
    <row r="65">
      <c r="A65" s="18">
        <f>IF('01-Cadastro-Motos'!$A65="","",'01-Cadastro-Motos'!$A65)</f>
        <v/>
      </c>
      <c r="B65" s="18">
        <f>IF($A65="","",IFERROR(INDEX('01-Cadastro-Motos'!$B$4:$B$123,MATCH($A65,'01-Cadastro-Motos'!$A$4:$A$123,0)),""))</f>
        <v/>
      </c>
      <c r="C65" s="15">
        <f>IF($A65="","",IFERROR(INDEX('01-Cadastro-Motos'!$I$4:$I$123,MATCH($A65,'01-Cadastro-Motos'!$A$4:$A$123,0)),""))</f>
        <v/>
      </c>
      <c r="D65" s="18">
        <f>IF($A65="","",IFERROR(INDEX('01-Cadastro-Motos'!$P$4:$P$123,MATCH($A65,'01-Cadastro-Motos'!$A$4:$A$123,0)),""))</f>
        <v/>
      </c>
      <c r="E65" s="15">
        <f>IF(OR($A65="",$D65=""),"",$C65*'00-Parametros'!$C$13*($D65/30))</f>
        <v/>
      </c>
      <c r="F65" s="15">
        <f>IF(OR($A65="",$D65=""),"",$C65*'00-Parametros'!$C$14*($D65/30))</f>
        <v/>
      </c>
      <c r="G65" s="19">
        <f>IF(OR($A65="",$D65="",$D65=0),"",'00-Parametros'!$C$15/$D65)</f>
        <v/>
      </c>
    </row>
    <row r="66">
      <c r="A66" s="18">
        <f>IF('01-Cadastro-Motos'!$A66="","",'01-Cadastro-Motos'!$A66)</f>
        <v/>
      </c>
      <c r="B66" s="18">
        <f>IF($A66="","",IFERROR(INDEX('01-Cadastro-Motos'!$B$4:$B$123,MATCH($A66,'01-Cadastro-Motos'!$A$4:$A$123,0)),""))</f>
        <v/>
      </c>
      <c r="C66" s="15">
        <f>IF($A66="","",IFERROR(INDEX('01-Cadastro-Motos'!$I$4:$I$123,MATCH($A66,'01-Cadastro-Motos'!$A$4:$A$123,0)),""))</f>
        <v/>
      </c>
      <c r="D66" s="18">
        <f>IF($A66="","",IFERROR(INDEX('01-Cadastro-Motos'!$P$4:$P$123,MATCH($A66,'01-Cadastro-Motos'!$A$4:$A$123,0)),""))</f>
        <v/>
      </c>
      <c r="E66" s="15">
        <f>IF(OR($A66="",$D66=""),"",$C66*'00-Parametros'!$C$13*($D66/30))</f>
        <v/>
      </c>
      <c r="F66" s="15">
        <f>IF(OR($A66="",$D66=""),"",$C66*'00-Parametros'!$C$14*($D66/30))</f>
        <v/>
      </c>
      <c r="G66" s="19">
        <f>IF(OR($A66="",$D66="",$D66=0),"",'00-Parametros'!$C$15/$D66)</f>
        <v/>
      </c>
    </row>
    <row r="67">
      <c r="A67" s="18">
        <f>IF('01-Cadastro-Motos'!$A67="","",'01-Cadastro-Motos'!$A67)</f>
        <v/>
      </c>
      <c r="B67" s="18">
        <f>IF($A67="","",IFERROR(INDEX('01-Cadastro-Motos'!$B$4:$B$123,MATCH($A67,'01-Cadastro-Motos'!$A$4:$A$123,0)),""))</f>
        <v/>
      </c>
      <c r="C67" s="15">
        <f>IF($A67="","",IFERROR(INDEX('01-Cadastro-Motos'!$I$4:$I$123,MATCH($A67,'01-Cadastro-Motos'!$A$4:$A$123,0)),""))</f>
        <v/>
      </c>
      <c r="D67" s="18">
        <f>IF($A67="","",IFERROR(INDEX('01-Cadastro-Motos'!$P$4:$P$123,MATCH($A67,'01-Cadastro-Motos'!$A$4:$A$123,0)),""))</f>
        <v/>
      </c>
      <c r="E67" s="15">
        <f>IF(OR($A67="",$D67=""),"",$C67*'00-Parametros'!$C$13*($D67/30))</f>
        <v/>
      </c>
      <c r="F67" s="15">
        <f>IF(OR($A67="",$D67=""),"",$C67*'00-Parametros'!$C$14*($D67/30))</f>
        <v/>
      </c>
      <c r="G67" s="19">
        <f>IF(OR($A67="",$D67="",$D67=0),"",'00-Parametros'!$C$15/$D67)</f>
        <v/>
      </c>
    </row>
    <row r="68">
      <c r="A68" s="18">
        <f>IF('01-Cadastro-Motos'!$A68="","",'01-Cadastro-Motos'!$A68)</f>
        <v/>
      </c>
      <c r="B68" s="18">
        <f>IF($A68="","",IFERROR(INDEX('01-Cadastro-Motos'!$B$4:$B$123,MATCH($A68,'01-Cadastro-Motos'!$A$4:$A$123,0)),""))</f>
        <v/>
      </c>
      <c r="C68" s="15">
        <f>IF($A68="","",IFERROR(INDEX('01-Cadastro-Motos'!$I$4:$I$123,MATCH($A68,'01-Cadastro-Motos'!$A$4:$A$123,0)),""))</f>
        <v/>
      </c>
      <c r="D68" s="18">
        <f>IF($A68="","",IFERROR(INDEX('01-Cadastro-Motos'!$P$4:$P$123,MATCH($A68,'01-Cadastro-Motos'!$A$4:$A$123,0)),""))</f>
        <v/>
      </c>
      <c r="E68" s="15">
        <f>IF(OR($A68="",$D68=""),"",$C68*'00-Parametros'!$C$13*($D68/30))</f>
        <v/>
      </c>
      <c r="F68" s="15">
        <f>IF(OR($A68="",$D68=""),"",$C68*'00-Parametros'!$C$14*($D68/30))</f>
        <v/>
      </c>
      <c r="G68" s="19">
        <f>IF(OR($A68="",$D68="",$D68=0),"",'00-Parametros'!$C$15/$D68)</f>
        <v/>
      </c>
    </row>
    <row r="69">
      <c r="A69" s="18">
        <f>IF('01-Cadastro-Motos'!$A69="","",'01-Cadastro-Motos'!$A69)</f>
        <v/>
      </c>
      <c r="B69" s="18">
        <f>IF($A69="","",IFERROR(INDEX('01-Cadastro-Motos'!$B$4:$B$123,MATCH($A69,'01-Cadastro-Motos'!$A$4:$A$123,0)),""))</f>
        <v/>
      </c>
      <c r="C69" s="15">
        <f>IF($A69="","",IFERROR(INDEX('01-Cadastro-Motos'!$I$4:$I$123,MATCH($A69,'01-Cadastro-Motos'!$A$4:$A$123,0)),""))</f>
        <v/>
      </c>
      <c r="D69" s="18">
        <f>IF($A69="","",IFERROR(INDEX('01-Cadastro-Motos'!$P$4:$P$123,MATCH($A69,'01-Cadastro-Motos'!$A$4:$A$123,0)),""))</f>
        <v/>
      </c>
      <c r="E69" s="15">
        <f>IF(OR($A69="",$D69=""),"",$C69*'00-Parametros'!$C$13*($D69/30))</f>
        <v/>
      </c>
      <c r="F69" s="15">
        <f>IF(OR($A69="",$D69=""),"",$C69*'00-Parametros'!$C$14*($D69/30))</f>
        <v/>
      </c>
      <c r="G69" s="19">
        <f>IF(OR($A69="",$D69="",$D69=0),"",'00-Parametros'!$C$15/$D69)</f>
        <v/>
      </c>
    </row>
    <row r="70">
      <c r="A70" s="18">
        <f>IF('01-Cadastro-Motos'!$A70="","",'01-Cadastro-Motos'!$A70)</f>
        <v/>
      </c>
      <c r="B70" s="18">
        <f>IF($A70="","",IFERROR(INDEX('01-Cadastro-Motos'!$B$4:$B$123,MATCH($A70,'01-Cadastro-Motos'!$A$4:$A$123,0)),""))</f>
        <v/>
      </c>
      <c r="C70" s="15">
        <f>IF($A70="","",IFERROR(INDEX('01-Cadastro-Motos'!$I$4:$I$123,MATCH($A70,'01-Cadastro-Motos'!$A$4:$A$123,0)),""))</f>
        <v/>
      </c>
      <c r="D70" s="18">
        <f>IF($A70="","",IFERROR(INDEX('01-Cadastro-Motos'!$P$4:$P$123,MATCH($A70,'01-Cadastro-Motos'!$A$4:$A$123,0)),""))</f>
        <v/>
      </c>
      <c r="E70" s="15">
        <f>IF(OR($A70="",$D70=""),"",$C70*'00-Parametros'!$C$13*($D70/30))</f>
        <v/>
      </c>
      <c r="F70" s="15">
        <f>IF(OR($A70="",$D70=""),"",$C70*'00-Parametros'!$C$14*($D70/30))</f>
        <v/>
      </c>
      <c r="G70" s="19">
        <f>IF(OR($A70="",$D70="",$D70=0),"",'00-Parametros'!$C$15/$D70)</f>
        <v/>
      </c>
    </row>
    <row r="71">
      <c r="A71" s="18">
        <f>IF('01-Cadastro-Motos'!$A71="","",'01-Cadastro-Motos'!$A71)</f>
        <v/>
      </c>
      <c r="B71" s="18">
        <f>IF($A71="","",IFERROR(INDEX('01-Cadastro-Motos'!$B$4:$B$123,MATCH($A71,'01-Cadastro-Motos'!$A$4:$A$123,0)),""))</f>
        <v/>
      </c>
      <c r="C71" s="15">
        <f>IF($A71="","",IFERROR(INDEX('01-Cadastro-Motos'!$I$4:$I$123,MATCH($A71,'01-Cadastro-Motos'!$A$4:$A$123,0)),""))</f>
        <v/>
      </c>
      <c r="D71" s="18">
        <f>IF($A71="","",IFERROR(INDEX('01-Cadastro-Motos'!$P$4:$P$123,MATCH($A71,'01-Cadastro-Motos'!$A$4:$A$123,0)),""))</f>
        <v/>
      </c>
      <c r="E71" s="15">
        <f>IF(OR($A71="",$D71=""),"",$C71*'00-Parametros'!$C$13*($D71/30))</f>
        <v/>
      </c>
      <c r="F71" s="15">
        <f>IF(OR($A71="",$D71=""),"",$C71*'00-Parametros'!$C$14*($D71/30))</f>
        <v/>
      </c>
      <c r="G71" s="19">
        <f>IF(OR($A71="",$D71="",$D71=0),"",'00-Parametros'!$C$15/$D71)</f>
        <v/>
      </c>
    </row>
    <row r="72">
      <c r="A72" s="18">
        <f>IF('01-Cadastro-Motos'!$A72="","",'01-Cadastro-Motos'!$A72)</f>
        <v/>
      </c>
      <c r="B72" s="18">
        <f>IF($A72="","",IFERROR(INDEX('01-Cadastro-Motos'!$B$4:$B$123,MATCH($A72,'01-Cadastro-Motos'!$A$4:$A$123,0)),""))</f>
        <v/>
      </c>
      <c r="C72" s="15">
        <f>IF($A72="","",IFERROR(INDEX('01-Cadastro-Motos'!$I$4:$I$123,MATCH($A72,'01-Cadastro-Motos'!$A$4:$A$123,0)),""))</f>
        <v/>
      </c>
      <c r="D72" s="18">
        <f>IF($A72="","",IFERROR(INDEX('01-Cadastro-Motos'!$P$4:$P$123,MATCH($A72,'01-Cadastro-Motos'!$A$4:$A$123,0)),""))</f>
        <v/>
      </c>
      <c r="E72" s="15">
        <f>IF(OR($A72="",$D72=""),"",$C72*'00-Parametros'!$C$13*($D72/30))</f>
        <v/>
      </c>
      <c r="F72" s="15">
        <f>IF(OR($A72="",$D72=""),"",$C72*'00-Parametros'!$C$14*($D72/30))</f>
        <v/>
      </c>
      <c r="G72" s="19">
        <f>IF(OR($A72="",$D72="",$D72=0),"",'00-Parametros'!$C$15/$D72)</f>
        <v/>
      </c>
    </row>
    <row r="73">
      <c r="A73" s="18">
        <f>IF('01-Cadastro-Motos'!$A73="","",'01-Cadastro-Motos'!$A73)</f>
        <v/>
      </c>
      <c r="B73" s="18">
        <f>IF($A73="","",IFERROR(INDEX('01-Cadastro-Motos'!$B$4:$B$123,MATCH($A73,'01-Cadastro-Motos'!$A$4:$A$123,0)),""))</f>
        <v/>
      </c>
      <c r="C73" s="15">
        <f>IF($A73="","",IFERROR(INDEX('01-Cadastro-Motos'!$I$4:$I$123,MATCH($A73,'01-Cadastro-Motos'!$A$4:$A$123,0)),""))</f>
        <v/>
      </c>
      <c r="D73" s="18">
        <f>IF($A73="","",IFERROR(INDEX('01-Cadastro-Motos'!$P$4:$P$123,MATCH($A73,'01-Cadastro-Motos'!$A$4:$A$123,0)),""))</f>
        <v/>
      </c>
      <c r="E73" s="15">
        <f>IF(OR($A73="",$D73=""),"",$C73*'00-Parametros'!$C$13*($D73/30))</f>
        <v/>
      </c>
      <c r="F73" s="15">
        <f>IF(OR($A73="",$D73=""),"",$C73*'00-Parametros'!$C$14*($D73/30))</f>
        <v/>
      </c>
      <c r="G73" s="19">
        <f>IF(OR($A73="",$D73="",$D73=0),"",'00-Parametros'!$C$15/$D73)</f>
        <v/>
      </c>
    </row>
    <row r="74">
      <c r="A74" s="18">
        <f>IF('01-Cadastro-Motos'!$A74="","",'01-Cadastro-Motos'!$A74)</f>
        <v/>
      </c>
      <c r="B74" s="18">
        <f>IF($A74="","",IFERROR(INDEX('01-Cadastro-Motos'!$B$4:$B$123,MATCH($A74,'01-Cadastro-Motos'!$A$4:$A$123,0)),""))</f>
        <v/>
      </c>
      <c r="C74" s="15">
        <f>IF($A74="","",IFERROR(INDEX('01-Cadastro-Motos'!$I$4:$I$123,MATCH($A74,'01-Cadastro-Motos'!$A$4:$A$123,0)),""))</f>
        <v/>
      </c>
      <c r="D74" s="18">
        <f>IF($A74="","",IFERROR(INDEX('01-Cadastro-Motos'!$P$4:$P$123,MATCH($A74,'01-Cadastro-Motos'!$A$4:$A$123,0)),""))</f>
        <v/>
      </c>
      <c r="E74" s="15">
        <f>IF(OR($A74="",$D74=""),"",$C74*'00-Parametros'!$C$13*($D74/30))</f>
        <v/>
      </c>
      <c r="F74" s="15">
        <f>IF(OR($A74="",$D74=""),"",$C74*'00-Parametros'!$C$14*($D74/30))</f>
        <v/>
      </c>
      <c r="G74" s="19">
        <f>IF(OR($A74="",$D74="",$D74=0),"",'00-Parametros'!$C$15/$D74)</f>
        <v/>
      </c>
    </row>
    <row r="75">
      <c r="A75" s="18">
        <f>IF('01-Cadastro-Motos'!$A75="","",'01-Cadastro-Motos'!$A75)</f>
        <v/>
      </c>
      <c r="B75" s="18">
        <f>IF($A75="","",IFERROR(INDEX('01-Cadastro-Motos'!$B$4:$B$123,MATCH($A75,'01-Cadastro-Motos'!$A$4:$A$123,0)),""))</f>
        <v/>
      </c>
      <c r="C75" s="15">
        <f>IF($A75="","",IFERROR(INDEX('01-Cadastro-Motos'!$I$4:$I$123,MATCH($A75,'01-Cadastro-Motos'!$A$4:$A$123,0)),""))</f>
        <v/>
      </c>
      <c r="D75" s="18">
        <f>IF($A75="","",IFERROR(INDEX('01-Cadastro-Motos'!$P$4:$P$123,MATCH($A75,'01-Cadastro-Motos'!$A$4:$A$123,0)),""))</f>
        <v/>
      </c>
      <c r="E75" s="15">
        <f>IF(OR($A75="",$D75=""),"",$C75*'00-Parametros'!$C$13*($D75/30))</f>
        <v/>
      </c>
      <c r="F75" s="15">
        <f>IF(OR($A75="",$D75=""),"",$C75*'00-Parametros'!$C$14*($D75/30))</f>
        <v/>
      </c>
      <c r="G75" s="19">
        <f>IF(OR($A75="",$D75="",$D75=0),"",'00-Parametros'!$C$15/$D75)</f>
        <v/>
      </c>
    </row>
    <row r="76">
      <c r="A76" s="18">
        <f>IF('01-Cadastro-Motos'!$A76="","",'01-Cadastro-Motos'!$A76)</f>
        <v/>
      </c>
      <c r="B76" s="18">
        <f>IF($A76="","",IFERROR(INDEX('01-Cadastro-Motos'!$B$4:$B$123,MATCH($A76,'01-Cadastro-Motos'!$A$4:$A$123,0)),""))</f>
        <v/>
      </c>
      <c r="C76" s="15">
        <f>IF($A76="","",IFERROR(INDEX('01-Cadastro-Motos'!$I$4:$I$123,MATCH($A76,'01-Cadastro-Motos'!$A$4:$A$123,0)),""))</f>
        <v/>
      </c>
      <c r="D76" s="18">
        <f>IF($A76="","",IFERROR(INDEX('01-Cadastro-Motos'!$P$4:$P$123,MATCH($A76,'01-Cadastro-Motos'!$A$4:$A$123,0)),""))</f>
        <v/>
      </c>
      <c r="E76" s="15">
        <f>IF(OR($A76="",$D76=""),"",$C76*'00-Parametros'!$C$13*($D76/30))</f>
        <v/>
      </c>
      <c r="F76" s="15">
        <f>IF(OR($A76="",$D76=""),"",$C76*'00-Parametros'!$C$14*($D76/30))</f>
        <v/>
      </c>
      <c r="G76" s="19">
        <f>IF(OR($A76="",$D76="",$D76=0),"",'00-Parametros'!$C$15/$D76)</f>
        <v/>
      </c>
    </row>
    <row r="77">
      <c r="A77" s="18">
        <f>IF('01-Cadastro-Motos'!$A77="","",'01-Cadastro-Motos'!$A77)</f>
        <v/>
      </c>
      <c r="B77" s="18">
        <f>IF($A77="","",IFERROR(INDEX('01-Cadastro-Motos'!$B$4:$B$123,MATCH($A77,'01-Cadastro-Motos'!$A$4:$A$123,0)),""))</f>
        <v/>
      </c>
      <c r="C77" s="15">
        <f>IF($A77="","",IFERROR(INDEX('01-Cadastro-Motos'!$I$4:$I$123,MATCH($A77,'01-Cadastro-Motos'!$A$4:$A$123,0)),""))</f>
        <v/>
      </c>
      <c r="D77" s="18">
        <f>IF($A77="","",IFERROR(INDEX('01-Cadastro-Motos'!$P$4:$P$123,MATCH($A77,'01-Cadastro-Motos'!$A$4:$A$123,0)),""))</f>
        <v/>
      </c>
      <c r="E77" s="15">
        <f>IF(OR($A77="",$D77=""),"",$C77*'00-Parametros'!$C$13*($D77/30))</f>
        <v/>
      </c>
      <c r="F77" s="15">
        <f>IF(OR($A77="",$D77=""),"",$C77*'00-Parametros'!$C$14*($D77/30))</f>
        <v/>
      </c>
      <c r="G77" s="19">
        <f>IF(OR($A77="",$D77="",$D77=0),"",'00-Parametros'!$C$15/$D77)</f>
        <v/>
      </c>
    </row>
    <row r="78">
      <c r="A78" s="18">
        <f>IF('01-Cadastro-Motos'!$A78="","",'01-Cadastro-Motos'!$A78)</f>
        <v/>
      </c>
      <c r="B78" s="18">
        <f>IF($A78="","",IFERROR(INDEX('01-Cadastro-Motos'!$B$4:$B$123,MATCH($A78,'01-Cadastro-Motos'!$A$4:$A$123,0)),""))</f>
        <v/>
      </c>
      <c r="C78" s="15">
        <f>IF($A78="","",IFERROR(INDEX('01-Cadastro-Motos'!$I$4:$I$123,MATCH($A78,'01-Cadastro-Motos'!$A$4:$A$123,0)),""))</f>
        <v/>
      </c>
      <c r="D78" s="18">
        <f>IF($A78="","",IFERROR(INDEX('01-Cadastro-Motos'!$P$4:$P$123,MATCH($A78,'01-Cadastro-Motos'!$A$4:$A$123,0)),""))</f>
        <v/>
      </c>
      <c r="E78" s="15">
        <f>IF(OR($A78="",$D78=""),"",$C78*'00-Parametros'!$C$13*($D78/30))</f>
        <v/>
      </c>
      <c r="F78" s="15">
        <f>IF(OR($A78="",$D78=""),"",$C78*'00-Parametros'!$C$14*($D78/30))</f>
        <v/>
      </c>
      <c r="G78" s="19">
        <f>IF(OR($A78="",$D78="",$D78=0),"",'00-Parametros'!$C$15/$D78)</f>
        <v/>
      </c>
    </row>
    <row r="79">
      <c r="A79" s="18">
        <f>IF('01-Cadastro-Motos'!$A79="","",'01-Cadastro-Motos'!$A79)</f>
        <v/>
      </c>
      <c r="B79" s="18">
        <f>IF($A79="","",IFERROR(INDEX('01-Cadastro-Motos'!$B$4:$B$123,MATCH($A79,'01-Cadastro-Motos'!$A$4:$A$123,0)),""))</f>
        <v/>
      </c>
      <c r="C79" s="15">
        <f>IF($A79="","",IFERROR(INDEX('01-Cadastro-Motos'!$I$4:$I$123,MATCH($A79,'01-Cadastro-Motos'!$A$4:$A$123,0)),""))</f>
        <v/>
      </c>
      <c r="D79" s="18">
        <f>IF($A79="","",IFERROR(INDEX('01-Cadastro-Motos'!$P$4:$P$123,MATCH($A79,'01-Cadastro-Motos'!$A$4:$A$123,0)),""))</f>
        <v/>
      </c>
      <c r="E79" s="15">
        <f>IF(OR($A79="",$D79=""),"",$C79*'00-Parametros'!$C$13*($D79/30))</f>
        <v/>
      </c>
      <c r="F79" s="15">
        <f>IF(OR($A79="",$D79=""),"",$C79*'00-Parametros'!$C$14*($D79/30))</f>
        <v/>
      </c>
      <c r="G79" s="19">
        <f>IF(OR($A79="",$D79="",$D79=0),"",'00-Parametros'!$C$15/$D79)</f>
        <v/>
      </c>
    </row>
    <row r="80">
      <c r="A80" s="18">
        <f>IF('01-Cadastro-Motos'!$A80="","",'01-Cadastro-Motos'!$A80)</f>
        <v/>
      </c>
      <c r="B80" s="18">
        <f>IF($A80="","",IFERROR(INDEX('01-Cadastro-Motos'!$B$4:$B$123,MATCH($A80,'01-Cadastro-Motos'!$A$4:$A$123,0)),""))</f>
        <v/>
      </c>
      <c r="C80" s="15">
        <f>IF($A80="","",IFERROR(INDEX('01-Cadastro-Motos'!$I$4:$I$123,MATCH($A80,'01-Cadastro-Motos'!$A$4:$A$123,0)),""))</f>
        <v/>
      </c>
      <c r="D80" s="18">
        <f>IF($A80="","",IFERROR(INDEX('01-Cadastro-Motos'!$P$4:$P$123,MATCH($A80,'01-Cadastro-Motos'!$A$4:$A$123,0)),""))</f>
        <v/>
      </c>
      <c r="E80" s="15">
        <f>IF(OR($A80="",$D80=""),"",$C80*'00-Parametros'!$C$13*($D80/30))</f>
        <v/>
      </c>
      <c r="F80" s="15">
        <f>IF(OR($A80="",$D80=""),"",$C80*'00-Parametros'!$C$14*($D80/30))</f>
        <v/>
      </c>
      <c r="G80" s="19">
        <f>IF(OR($A80="",$D80="",$D80=0),"",'00-Parametros'!$C$15/$D80)</f>
        <v/>
      </c>
    </row>
    <row r="81">
      <c r="A81" s="18">
        <f>IF('01-Cadastro-Motos'!$A81="","",'01-Cadastro-Motos'!$A81)</f>
        <v/>
      </c>
      <c r="B81" s="18">
        <f>IF($A81="","",IFERROR(INDEX('01-Cadastro-Motos'!$B$4:$B$123,MATCH($A81,'01-Cadastro-Motos'!$A$4:$A$123,0)),""))</f>
        <v/>
      </c>
      <c r="C81" s="15">
        <f>IF($A81="","",IFERROR(INDEX('01-Cadastro-Motos'!$I$4:$I$123,MATCH($A81,'01-Cadastro-Motos'!$A$4:$A$123,0)),""))</f>
        <v/>
      </c>
      <c r="D81" s="18">
        <f>IF($A81="","",IFERROR(INDEX('01-Cadastro-Motos'!$P$4:$P$123,MATCH($A81,'01-Cadastro-Motos'!$A$4:$A$123,0)),""))</f>
        <v/>
      </c>
      <c r="E81" s="15">
        <f>IF(OR($A81="",$D81=""),"",$C81*'00-Parametros'!$C$13*($D81/30))</f>
        <v/>
      </c>
      <c r="F81" s="15">
        <f>IF(OR($A81="",$D81=""),"",$C81*'00-Parametros'!$C$14*($D81/30))</f>
        <v/>
      </c>
      <c r="G81" s="19">
        <f>IF(OR($A81="",$D81="",$D81=0),"",'00-Parametros'!$C$15/$D81)</f>
        <v/>
      </c>
    </row>
    <row r="82">
      <c r="A82" s="18">
        <f>IF('01-Cadastro-Motos'!$A82="","",'01-Cadastro-Motos'!$A82)</f>
        <v/>
      </c>
      <c r="B82" s="18">
        <f>IF($A82="","",IFERROR(INDEX('01-Cadastro-Motos'!$B$4:$B$123,MATCH($A82,'01-Cadastro-Motos'!$A$4:$A$123,0)),""))</f>
        <v/>
      </c>
      <c r="C82" s="15">
        <f>IF($A82="","",IFERROR(INDEX('01-Cadastro-Motos'!$I$4:$I$123,MATCH($A82,'01-Cadastro-Motos'!$A$4:$A$123,0)),""))</f>
        <v/>
      </c>
      <c r="D82" s="18">
        <f>IF($A82="","",IFERROR(INDEX('01-Cadastro-Motos'!$P$4:$P$123,MATCH($A82,'01-Cadastro-Motos'!$A$4:$A$123,0)),""))</f>
        <v/>
      </c>
      <c r="E82" s="15">
        <f>IF(OR($A82="",$D82=""),"",$C82*'00-Parametros'!$C$13*($D82/30))</f>
        <v/>
      </c>
      <c r="F82" s="15">
        <f>IF(OR($A82="",$D82=""),"",$C82*'00-Parametros'!$C$14*($D82/30))</f>
        <v/>
      </c>
      <c r="G82" s="19">
        <f>IF(OR($A82="",$D82="",$D82=0),"",'00-Parametros'!$C$15/$D82)</f>
        <v/>
      </c>
    </row>
    <row r="83">
      <c r="A83" s="18">
        <f>IF('01-Cadastro-Motos'!$A83="","",'01-Cadastro-Motos'!$A83)</f>
        <v/>
      </c>
      <c r="B83" s="18">
        <f>IF($A83="","",IFERROR(INDEX('01-Cadastro-Motos'!$B$4:$B$123,MATCH($A83,'01-Cadastro-Motos'!$A$4:$A$123,0)),""))</f>
        <v/>
      </c>
      <c r="C83" s="15">
        <f>IF($A83="","",IFERROR(INDEX('01-Cadastro-Motos'!$I$4:$I$123,MATCH($A83,'01-Cadastro-Motos'!$A$4:$A$123,0)),""))</f>
        <v/>
      </c>
      <c r="D83" s="18">
        <f>IF($A83="","",IFERROR(INDEX('01-Cadastro-Motos'!$P$4:$P$123,MATCH($A83,'01-Cadastro-Motos'!$A$4:$A$123,0)),""))</f>
        <v/>
      </c>
      <c r="E83" s="15">
        <f>IF(OR($A83="",$D83=""),"",$C83*'00-Parametros'!$C$13*($D83/30))</f>
        <v/>
      </c>
      <c r="F83" s="15">
        <f>IF(OR($A83="",$D83=""),"",$C83*'00-Parametros'!$C$14*($D83/30))</f>
        <v/>
      </c>
      <c r="G83" s="19">
        <f>IF(OR($A83="",$D83="",$D83=0),"",'00-Parametros'!$C$15/$D83)</f>
        <v/>
      </c>
    </row>
    <row r="84">
      <c r="A84" s="18">
        <f>IF('01-Cadastro-Motos'!$A84="","",'01-Cadastro-Motos'!$A84)</f>
        <v/>
      </c>
      <c r="B84" s="18">
        <f>IF($A84="","",IFERROR(INDEX('01-Cadastro-Motos'!$B$4:$B$123,MATCH($A84,'01-Cadastro-Motos'!$A$4:$A$123,0)),""))</f>
        <v/>
      </c>
      <c r="C84" s="15">
        <f>IF($A84="","",IFERROR(INDEX('01-Cadastro-Motos'!$I$4:$I$123,MATCH($A84,'01-Cadastro-Motos'!$A$4:$A$123,0)),""))</f>
        <v/>
      </c>
      <c r="D84" s="18">
        <f>IF($A84="","",IFERROR(INDEX('01-Cadastro-Motos'!$P$4:$P$123,MATCH($A84,'01-Cadastro-Motos'!$A$4:$A$123,0)),""))</f>
        <v/>
      </c>
      <c r="E84" s="15">
        <f>IF(OR($A84="",$D84=""),"",$C84*'00-Parametros'!$C$13*($D84/30))</f>
        <v/>
      </c>
      <c r="F84" s="15">
        <f>IF(OR($A84="",$D84=""),"",$C84*'00-Parametros'!$C$14*($D84/30))</f>
        <v/>
      </c>
      <c r="G84" s="19">
        <f>IF(OR($A84="",$D84="",$D84=0),"",'00-Parametros'!$C$15/$D84)</f>
        <v/>
      </c>
    </row>
    <row r="85">
      <c r="A85" s="18">
        <f>IF('01-Cadastro-Motos'!$A85="","",'01-Cadastro-Motos'!$A85)</f>
        <v/>
      </c>
      <c r="B85" s="18">
        <f>IF($A85="","",IFERROR(INDEX('01-Cadastro-Motos'!$B$4:$B$123,MATCH($A85,'01-Cadastro-Motos'!$A$4:$A$123,0)),""))</f>
        <v/>
      </c>
      <c r="C85" s="15">
        <f>IF($A85="","",IFERROR(INDEX('01-Cadastro-Motos'!$I$4:$I$123,MATCH($A85,'01-Cadastro-Motos'!$A$4:$A$123,0)),""))</f>
        <v/>
      </c>
      <c r="D85" s="18">
        <f>IF($A85="","",IFERROR(INDEX('01-Cadastro-Motos'!$P$4:$P$123,MATCH($A85,'01-Cadastro-Motos'!$A$4:$A$123,0)),""))</f>
        <v/>
      </c>
      <c r="E85" s="15">
        <f>IF(OR($A85="",$D85=""),"",$C85*'00-Parametros'!$C$13*($D85/30))</f>
        <v/>
      </c>
      <c r="F85" s="15">
        <f>IF(OR($A85="",$D85=""),"",$C85*'00-Parametros'!$C$14*($D85/30))</f>
        <v/>
      </c>
      <c r="G85" s="19">
        <f>IF(OR($A85="",$D85="",$D85=0),"",'00-Parametros'!$C$15/$D85)</f>
        <v/>
      </c>
    </row>
    <row r="86">
      <c r="A86" s="18">
        <f>IF('01-Cadastro-Motos'!$A86="","",'01-Cadastro-Motos'!$A86)</f>
        <v/>
      </c>
      <c r="B86" s="18">
        <f>IF($A86="","",IFERROR(INDEX('01-Cadastro-Motos'!$B$4:$B$123,MATCH($A86,'01-Cadastro-Motos'!$A$4:$A$123,0)),""))</f>
        <v/>
      </c>
      <c r="C86" s="15">
        <f>IF($A86="","",IFERROR(INDEX('01-Cadastro-Motos'!$I$4:$I$123,MATCH($A86,'01-Cadastro-Motos'!$A$4:$A$123,0)),""))</f>
        <v/>
      </c>
      <c r="D86" s="18">
        <f>IF($A86="","",IFERROR(INDEX('01-Cadastro-Motos'!$P$4:$P$123,MATCH($A86,'01-Cadastro-Motos'!$A$4:$A$123,0)),""))</f>
        <v/>
      </c>
      <c r="E86" s="15">
        <f>IF(OR($A86="",$D86=""),"",$C86*'00-Parametros'!$C$13*($D86/30))</f>
        <v/>
      </c>
      <c r="F86" s="15">
        <f>IF(OR($A86="",$D86=""),"",$C86*'00-Parametros'!$C$14*($D86/30))</f>
        <v/>
      </c>
      <c r="G86" s="19">
        <f>IF(OR($A86="",$D86="",$D86=0),"",'00-Parametros'!$C$15/$D86)</f>
        <v/>
      </c>
    </row>
    <row r="87">
      <c r="A87" s="18">
        <f>IF('01-Cadastro-Motos'!$A87="","",'01-Cadastro-Motos'!$A87)</f>
        <v/>
      </c>
      <c r="B87" s="18">
        <f>IF($A87="","",IFERROR(INDEX('01-Cadastro-Motos'!$B$4:$B$123,MATCH($A87,'01-Cadastro-Motos'!$A$4:$A$123,0)),""))</f>
        <v/>
      </c>
      <c r="C87" s="15">
        <f>IF($A87="","",IFERROR(INDEX('01-Cadastro-Motos'!$I$4:$I$123,MATCH($A87,'01-Cadastro-Motos'!$A$4:$A$123,0)),""))</f>
        <v/>
      </c>
      <c r="D87" s="18">
        <f>IF($A87="","",IFERROR(INDEX('01-Cadastro-Motos'!$P$4:$P$123,MATCH($A87,'01-Cadastro-Motos'!$A$4:$A$123,0)),""))</f>
        <v/>
      </c>
      <c r="E87" s="15">
        <f>IF(OR($A87="",$D87=""),"",$C87*'00-Parametros'!$C$13*($D87/30))</f>
        <v/>
      </c>
      <c r="F87" s="15">
        <f>IF(OR($A87="",$D87=""),"",$C87*'00-Parametros'!$C$14*($D87/30))</f>
        <v/>
      </c>
      <c r="G87" s="19">
        <f>IF(OR($A87="",$D87="",$D87=0),"",'00-Parametros'!$C$15/$D87)</f>
        <v/>
      </c>
    </row>
    <row r="88">
      <c r="A88" s="18">
        <f>IF('01-Cadastro-Motos'!$A88="","",'01-Cadastro-Motos'!$A88)</f>
        <v/>
      </c>
      <c r="B88" s="18">
        <f>IF($A88="","",IFERROR(INDEX('01-Cadastro-Motos'!$B$4:$B$123,MATCH($A88,'01-Cadastro-Motos'!$A$4:$A$123,0)),""))</f>
        <v/>
      </c>
      <c r="C88" s="15">
        <f>IF($A88="","",IFERROR(INDEX('01-Cadastro-Motos'!$I$4:$I$123,MATCH($A88,'01-Cadastro-Motos'!$A$4:$A$123,0)),""))</f>
        <v/>
      </c>
      <c r="D88" s="18">
        <f>IF($A88="","",IFERROR(INDEX('01-Cadastro-Motos'!$P$4:$P$123,MATCH($A88,'01-Cadastro-Motos'!$A$4:$A$123,0)),""))</f>
        <v/>
      </c>
      <c r="E88" s="15">
        <f>IF(OR($A88="",$D88=""),"",$C88*'00-Parametros'!$C$13*($D88/30))</f>
        <v/>
      </c>
      <c r="F88" s="15">
        <f>IF(OR($A88="",$D88=""),"",$C88*'00-Parametros'!$C$14*($D88/30))</f>
        <v/>
      </c>
      <c r="G88" s="19">
        <f>IF(OR($A88="",$D88="",$D88=0),"",'00-Parametros'!$C$15/$D88)</f>
        <v/>
      </c>
    </row>
    <row r="89">
      <c r="A89" s="18">
        <f>IF('01-Cadastro-Motos'!$A89="","",'01-Cadastro-Motos'!$A89)</f>
        <v/>
      </c>
      <c r="B89" s="18">
        <f>IF($A89="","",IFERROR(INDEX('01-Cadastro-Motos'!$B$4:$B$123,MATCH($A89,'01-Cadastro-Motos'!$A$4:$A$123,0)),""))</f>
        <v/>
      </c>
      <c r="C89" s="15">
        <f>IF($A89="","",IFERROR(INDEX('01-Cadastro-Motos'!$I$4:$I$123,MATCH($A89,'01-Cadastro-Motos'!$A$4:$A$123,0)),""))</f>
        <v/>
      </c>
      <c r="D89" s="18">
        <f>IF($A89="","",IFERROR(INDEX('01-Cadastro-Motos'!$P$4:$P$123,MATCH($A89,'01-Cadastro-Motos'!$A$4:$A$123,0)),""))</f>
        <v/>
      </c>
      <c r="E89" s="15">
        <f>IF(OR($A89="",$D89=""),"",$C89*'00-Parametros'!$C$13*($D89/30))</f>
        <v/>
      </c>
      <c r="F89" s="15">
        <f>IF(OR($A89="",$D89=""),"",$C89*'00-Parametros'!$C$14*($D89/30))</f>
        <v/>
      </c>
      <c r="G89" s="19">
        <f>IF(OR($A89="",$D89="",$D89=0),"",'00-Parametros'!$C$15/$D89)</f>
        <v/>
      </c>
    </row>
    <row r="90">
      <c r="A90" s="18">
        <f>IF('01-Cadastro-Motos'!$A90="","",'01-Cadastro-Motos'!$A90)</f>
        <v/>
      </c>
      <c r="B90" s="18">
        <f>IF($A90="","",IFERROR(INDEX('01-Cadastro-Motos'!$B$4:$B$123,MATCH($A90,'01-Cadastro-Motos'!$A$4:$A$123,0)),""))</f>
        <v/>
      </c>
      <c r="C90" s="15">
        <f>IF($A90="","",IFERROR(INDEX('01-Cadastro-Motos'!$I$4:$I$123,MATCH($A90,'01-Cadastro-Motos'!$A$4:$A$123,0)),""))</f>
        <v/>
      </c>
      <c r="D90" s="18">
        <f>IF($A90="","",IFERROR(INDEX('01-Cadastro-Motos'!$P$4:$P$123,MATCH($A90,'01-Cadastro-Motos'!$A$4:$A$123,0)),""))</f>
        <v/>
      </c>
      <c r="E90" s="15">
        <f>IF(OR($A90="",$D90=""),"",$C90*'00-Parametros'!$C$13*($D90/30))</f>
        <v/>
      </c>
      <c r="F90" s="15">
        <f>IF(OR($A90="",$D90=""),"",$C90*'00-Parametros'!$C$14*($D90/30))</f>
        <v/>
      </c>
      <c r="G90" s="19">
        <f>IF(OR($A90="",$D90="",$D90=0),"",'00-Parametros'!$C$15/$D90)</f>
        <v/>
      </c>
    </row>
    <row r="91">
      <c r="A91" s="18">
        <f>IF('01-Cadastro-Motos'!$A91="","",'01-Cadastro-Motos'!$A91)</f>
        <v/>
      </c>
      <c r="B91" s="18">
        <f>IF($A91="","",IFERROR(INDEX('01-Cadastro-Motos'!$B$4:$B$123,MATCH($A91,'01-Cadastro-Motos'!$A$4:$A$123,0)),""))</f>
        <v/>
      </c>
      <c r="C91" s="15">
        <f>IF($A91="","",IFERROR(INDEX('01-Cadastro-Motos'!$I$4:$I$123,MATCH($A91,'01-Cadastro-Motos'!$A$4:$A$123,0)),""))</f>
        <v/>
      </c>
      <c r="D91" s="18">
        <f>IF($A91="","",IFERROR(INDEX('01-Cadastro-Motos'!$P$4:$P$123,MATCH($A91,'01-Cadastro-Motos'!$A$4:$A$123,0)),""))</f>
        <v/>
      </c>
      <c r="E91" s="15">
        <f>IF(OR($A91="",$D91=""),"",$C91*'00-Parametros'!$C$13*($D91/30))</f>
        <v/>
      </c>
      <c r="F91" s="15">
        <f>IF(OR($A91="",$D91=""),"",$C91*'00-Parametros'!$C$14*($D91/30))</f>
        <v/>
      </c>
      <c r="G91" s="19">
        <f>IF(OR($A91="",$D91="",$D91=0),"",'00-Parametros'!$C$15/$D91)</f>
        <v/>
      </c>
    </row>
    <row r="92">
      <c r="A92" s="18">
        <f>IF('01-Cadastro-Motos'!$A92="","",'01-Cadastro-Motos'!$A92)</f>
        <v/>
      </c>
      <c r="B92" s="18">
        <f>IF($A92="","",IFERROR(INDEX('01-Cadastro-Motos'!$B$4:$B$123,MATCH($A92,'01-Cadastro-Motos'!$A$4:$A$123,0)),""))</f>
        <v/>
      </c>
      <c r="C92" s="15">
        <f>IF($A92="","",IFERROR(INDEX('01-Cadastro-Motos'!$I$4:$I$123,MATCH($A92,'01-Cadastro-Motos'!$A$4:$A$123,0)),""))</f>
        <v/>
      </c>
      <c r="D92" s="18">
        <f>IF($A92="","",IFERROR(INDEX('01-Cadastro-Motos'!$P$4:$P$123,MATCH($A92,'01-Cadastro-Motos'!$A$4:$A$123,0)),""))</f>
        <v/>
      </c>
      <c r="E92" s="15">
        <f>IF(OR($A92="",$D92=""),"",$C92*'00-Parametros'!$C$13*($D92/30))</f>
        <v/>
      </c>
      <c r="F92" s="15">
        <f>IF(OR($A92="",$D92=""),"",$C92*'00-Parametros'!$C$14*($D92/30))</f>
        <v/>
      </c>
      <c r="G92" s="19">
        <f>IF(OR($A92="",$D92="",$D92=0),"",'00-Parametros'!$C$15/$D92)</f>
        <v/>
      </c>
    </row>
    <row r="93">
      <c r="A93" s="18">
        <f>IF('01-Cadastro-Motos'!$A93="","",'01-Cadastro-Motos'!$A93)</f>
        <v/>
      </c>
      <c r="B93" s="18">
        <f>IF($A93="","",IFERROR(INDEX('01-Cadastro-Motos'!$B$4:$B$123,MATCH($A93,'01-Cadastro-Motos'!$A$4:$A$123,0)),""))</f>
        <v/>
      </c>
      <c r="C93" s="15">
        <f>IF($A93="","",IFERROR(INDEX('01-Cadastro-Motos'!$I$4:$I$123,MATCH($A93,'01-Cadastro-Motos'!$A$4:$A$123,0)),""))</f>
        <v/>
      </c>
      <c r="D93" s="18">
        <f>IF($A93="","",IFERROR(INDEX('01-Cadastro-Motos'!$P$4:$P$123,MATCH($A93,'01-Cadastro-Motos'!$A$4:$A$123,0)),""))</f>
        <v/>
      </c>
      <c r="E93" s="15">
        <f>IF(OR($A93="",$D93=""),"",$C93*'00-Parametros'!$C$13*($D93/30))</f>
        <v/>
      </c>
      <c r="F93" s="15">
        <f>IF(OR($A93="",$D93=""),"",$C93*'00-Parametros'!$C$14*($D93/30))</f>
        <v/>
      </c>
      <c r="G93" s="19">
        <f>IF(OR($A93="",$D93="",$D93=0),"",'00-Parametros'!$C$15/$D93)</f>
        <v/>
      </c>
    </row>
    <row r="94">
      <c r="A94" s="18">
        <f>IF('01-Cadastro-Motos'!$A94="","",'01-Cadastro-Motos'!$A94)</f>
        <v/>
      </c>
      <c r="B94" s="18">
        <f>IF($A94="","",IFERROR(INDEX('01-Cadastro-Motos'!$B$4:$B$123,MATCH($A94,'01-Cadastro-Motos'!$A$4:$A$123,0)),""))</f>
        <v/>
      </c>
      <c r="C94" s="15">
        <f>IF($A94="","",IFERROR(INDEX('01-Cadastro-Motos'!$I$4:$I$123,MATCH($A94,'01-Cadastro-Motos'!$A$4:$A$123,0)),""))</f>
        <v/>
      </c>
      <c r="D94" s="18">
        <f>IF($A94="","",IFERROR(INDEX('01-Cadastro-Motos'!$P$4:$P$123,MATCH($A94,'01-Cadastro-Motos'!$A$4:$A$123,0)),""))</f>
        <v/>
      </c>
      <c r="E94" s="15">
        <f>IF(OR($A94="",$D94=""),"",$C94*'00-Parametros'!$C$13*($D94/30))</f>
        <v/>
      </c>
      <c r="F94" s="15">
        <f>IF(OR($A94="",$D94=""),"",$C94*'00-Parametros'!$C$14*($D94/30))</f>
        <v/>
      </c>
      <c r="G94" s="19">
        <f>IF(OR($A94="",$D94="",$D94=0),"",'00-Parametros'!$C$15/$D94)</f>
        <v/>
      </c>
    </row>
    <row r="95">
      <c r="A95" s="18">
        <f>IF('01-Cadastro-Motos'!$A95="","",'01-Cadastro-Motos'!$A95)</f>
        <v/>
      </c>
      <c r="B95" s="18">
        <f>IF($A95="","",IFERROR(INDEX('01-Cadastro-Motos'!$B$4:$B$123,MATCH($A95,'01-Cadastro-Motos'!$A$4:$A$123,0)),""))</f>
        <v/>
      </c>
      <c r="C95" s="15">
        <f>IF($A95="","",IFERROR(INDEX('01-Cadastro-Motos'!$I$4:$I$123,MATCH($A95,'01-Cadastro-Motos'!$A$4:$A$123,0)),""))</f>
        <v/>
      </c>
      <c r="D95" s="18">
        <f>IF($A95="","",IFERROR(INDEX('01-Cadastro-Motos'!$P$4:$P$123,MATCH($A95,'01-Cadastro-Motos'!$A$4:$A$123,0)),""))</f>
        <v/>
      </c>
      <c r="E95" s="15">
        <f>IF(OR($A95="",$D95=""),"",$C95*'00-Parametros'!$C$13*($D95/30))</f>
        <v/>
      </c>
      <c r="F95" s="15">
        <f>IF(OR($A95="",$D95=""),"",$C95*'00-Parametros'!$C$14*($D95/30))</f>
        <v/>
      </c>
      <c r="G95" s="19">
        <f>IF(OR($A95="",$D95="",$D95=0),"",'00-Parametros'!$C$15/$D95)</f>
        <v/>
      </c>
    </row>
    <row r="96">
      <c r="A96" s="18">
        <f>IF('01-Cadastro-Motos'!$A96="","",'01-Cadastro-Motos'!$A96)</f>
        <v/>
      </c>
      <c r="B96" s="18">
        <f>IF($A96="","",IFERROR(INDEX('01-Cadastro-Motos'!$B$4:$B$123,MATCH($A96,'01-Cadastro-Motos'!$A$4:$A$123,0)),""))</f>
        <v/>
      </c>
      <c r="C96" s="15">
        <f>IF($A96="","",IFERROR(INDEX('01-Cadastro-Motos'!$I$4:$I$123,MATCH($A96,'01-Cadastro-Motos'!$A$4:$A$123,0)),""))</f>
        <v/>
      </c>
      <c r="D96" s="18">
        <f>IF($A96="","",IFERROR(INDEX('01-Cadastro-Motos'!$P$4:$P$123,MATCH($A96,'01-Cadastro-Motos'!$A$4:$A$123,0)),""))</f>
        <v/>
      </c>
      <c r="E96" s="15">
        <f>IF(OR($A96="",$D96=""),"",$C96*'00-Parametros'!$C$13*($D96/30))</f>
        <v/>
      </c>
      <c r="F96" s="15">
        <f>IF(OR($A96="",$D96=""),"",$C96*'00-Parametros'!$C$14*($D96/30))</f>
        <v/>
      </c>
      <c r="G96" s="19">
        <f>IF(OR($A96="",$D96="",$D96=0),"",'00-Parametros'!$C$15/$D96)</f>
        <v/>
      </c>
    </row>
    <row r="97">
      <c r="A97" s="18">
        <f>IF('01-Cadastro-Motos'!$A97="","",'01-Cadastro-Motos'!$A97)</f>
        <v/>
      </c>
      <c r="B97" s="18">
        <f>IF($A97="","",IFERROR(INDEX('01-Cadastro-Motos'!$B$4:$B$123,MATCH($A97,'01-Cadastro-Motos'!$A$4:$A$123,0)),""))</f>
        <v/>
      </c>
      <c r="C97" s="15">
        <f>IF($A97="","",IFERROR(INDEX('01-Cadastro-Motos'!$I$4:$I$123,MATCH($A97,'01-Cadastro-Motos'!$A$4:$A$123,0)),""))</f>
        <v/>
      </c>
      <c r="D97" s="18">
        <f>IF($A97="","",IFERROR(INDEX('01-Cadastro-Motos'!$P$4:$P$123,MATCH($A97,'01-Cadastro-Motos'!$A$4:$A$123,0)),""))</f>
        <v/>
      </c>
      <c r="E97" s="15">
        <f>IF(OR($A97="",$D97=""),"",$C97*'00-Parametros'!$C$13*($D97/30))</f>
        <v/>
      </c>
      <c r="F97" s="15">
        <f>IF(OR($A97="",$D97=""),"",$C97*'00-Parametros'!$C$14*($D97/30))</f>
        <v/>
      </c>
      <c r="G97" s="19">
        <f>IF(OR($A97="",$D97="",$D97=0),"",'00-Parametros'!$C$15/$D97)</f>
        <v/>
      </c>
    </row>
    <row r="98">
      <c r="A98" s="18">
        <f>IF('01-Cadastro-Motos'!$A98="","",'01-Cadastro-Motos'!$A98)</f>
        <v/>
      </c>
      <c r="B98" s="18">
        <f>IF($A98="","",IFERROR(INDEX('01-Cadastro-Motos'!$B$4:$B$123,MATCH($A98,'01-Cadastro-Motos'!$A$4:$A$123,0)),""))</f>
        <v/>
      </c>
      <c r="C98" s="15">
        <f>IF($A98="","",IFERROR(INDEX('01-Cadastro-Motos'!$I$4:$I$123,MATCH($A98,'01-Cadastro-Motos'!$A$4:$A$123,0)),""))</f>
        <v/>
      </c>
      <c r="D98" s="18">
        <f>IF($A98="","",IFERROR(INDEX('01-Cadastro-Motos'!$P$4:$P$123,MATCH($A98,'01-Cadastro-Motos'!$A$4:$A$123,0)),""))</f>
        <v/>
      </c>
      <c r="E98" s="15">
        <f>IF(OR($A98="",$D98=""),"",$C98*'00-Parametros'!$C$13*($D98/30))</f>
        <v/>
      </c>
      <c r="F98" s="15">
        <f>IF(OR($A98="",$D98=""),"",$C98*'00-Parametros'!$C$14*($D98/30))</f>
        <v/>
      </c>
      <c r="G98" s="19">
        <f>IF(OR($A98="",$D98="",$D98=0),"",'00-Parametros'!$C$15/$D98)</f>
        <v/>
      </c>
    </row>
    <row r="99">
      <c r="A99" s="18">
        <f>IF('01-Cadastro-Motos'!$A99="","",'01-Cadastro-Motos'!$A99)</f>
        <v/>
      </c>
      <c r="B99" s="18">
        <f>IF($A99="","",IFERROR(INDEX('01-Cadastro-Motos'!$B$4:$B$123,MATCH($A99,'01-Cadastro-Motos'!$A$4:$A$123,0)),""))</f>
        <v/>
      </c>
      <c r="C99" s="15">
        <f>IF($A99="","",IFERROR(INDEX('01-Cadastro-Motos'!$I$4:$I$123,MATCH($A99,'01-Cadastro-Motos'!$A$4:$A$123,0)),""))</f>
        <v/>
      </c>
      <c r="D99" s="18">
        <f>IF($A99="","",IFERROR(INDEX('01-Cadastro-Motos'!$P$4:$P$123,MATCH($A99,'01-Cadastro-Motos'!$A$4:$A$123,0)),""))</f>
        <v/>
      </c>
      <c r="E99" s="15">
        <f>IF(OR($A99="",$D99=""),"",$C99*'00-Parametros'!$C$13*($D99/30))</f>
        <v/>
      </c>
      <c r="F99" s="15">
        <f>IF(OR($A99="",$D99=""),"",$C99*'00-Parametros'!$C$14*($D99/30))</f>
        <v/>
      </c>
      <c r="G99" s="19">
        <f>IF(OR($A99="",$D99="",$D99=0),"",'00-Parametros'!$C$15/$D99)</f>
        <v/>
      </c>
    </row>
    <row r="100">
      <c r="A100" s="18">
        <f>IF('01-Cadastro-Motos'!$A100="","",'01-Cadastro-Motos'!$A100)</f>
        <v/>
      </c>
      <c r="B100" s="18">
        <f>IF($A100="","",IFERROR(INDEX('01-Cadastro-Motos'!$B$4:$B$123,MATCH($A100,'01-Cadastro-Motos'!$A$4:$A$123,0)),""))</f>
        <v/>
      </c>
      <c r="C100" s="15">
        <f>IF($A100="","",IFERROR(INDEX('01-Cadastro-Motos'!$I$4:$I$123,MATCH($A100,'01-Cadastro-Motos'!$A$4:$A$123,0)),""))</f>
        <v/>
      </c>
      <c r="D100" s="18">
        <f>IF($A100="","",IFERROR(INDEX('01-Cadastro-Motos'!$P$4:$P$123,MATCH($A100,'01-Cadastro-Motos'!$A$4:$A$123,0)),""))</f>
        <v/>
      </c>
      <c r="E100" s="15">
        <f>IF(OR($A100="",$D100=""),"",$C100*'00-Parametros'!$C$13*($D100/30))</f>
        <v/>
      </c>
      <c r="F100" s="15">
        <f>IF(OR($A100="",$D100=""),"",$C100*'00-Parametros'!$C$14*($D100/30))</f>
        <v/>
      </c>
      <c r="G100" s="19">
        <f>IF(OR($A100="",$D100="",$D100=0),"",'00-Parametros'!$C$15/$D100)</f>
        <v/>
      </c>
    </row>
    <row r="101">
      <c r="A101" s="18">
        <f>IF('01-Cadastro-Motos'!$A101="","",'01-Cadastro-Motos'!$A101)</f>
        <v/>
      </c>
      <c r="B101" s="18">
        <f>IF($A101="","",IFERROR(INDEX('01-Cadastro-Motos'!$B$4:$B$123,MATCH($A101,'01-Cadastro-Motos'!$A$4:$A$123,0)),""))</f>
        <v/>
      </c>
      <c r="C101" s="15">
        <f>IF($A101="","",IFERROR(INDEX('01-Cadastro-Motos'!$I$4:$I$123,MATCH($A101,'01-Cadastro-Motos'!$A$4:$A$123,0)),""))</f>
        <v/>
      </c>
      <c r="D101" s="18">
        <f>IF($A101="","",IFERROR(INDEX('01-Cadastro-Motos'!$P$4:$P$123,MATCH($A101,'01-Cadastro-Motos'!$A$4:$A$123,0)),""))</f>
        <v/>
      </c>
      <c r="E101" s="15">
        <f>IF(OR($A101="",$D101=""),"",$C101*'00-Parametros'!$C$13*($D101/30))</f>
        <v/>
      </c>
      <c r="F101" s="15">
        <f>IF(OR($A101="",$D101=""),"",$C101*'00-Parametros'!$C$14*($D101/30))</f>
        <v/>
      </c>
      <c r="G101" s="19">
        <f>IF(OR($A101="",$D101="",$D101=0),"",'00-Parametros'!$C$15/$D101)</f>
        <v/>
      </c>
    </row>
    <row r="102">
      <c r="A102" s="18">
        <f>IF('01-Cadastro-Motos'!$A102="","",'01-Cadastro-Motos'!$A102)</f>
        <v/>
      </c>
      <c r="B102" s="18">
        <f>IF($A102="","",IFERROR(INDEX('01-Cadastro-Motos'!$B$4:$B$123,MATCH($A102,'01-Cadastro-Motos'!$A$4:$A$123,0)),""))</f>
        <v/>
      </c>
      <c r="C102" s="15">
        <f>IF($A102="","",IFERROR(INDEX('01-Cadastro-Motos'!$I$4:$I$123,MATCH($A102,'01-Cadastro-Motos'!$A$4:$A$123,0)),""))</f>
        <v/>
      </c>
      <c r="D102" s="18">
        <f>IF($A102="","",IFERROR(INDEX('01-Cadastro-Motos'!$P$4:$P$123,MATCH($A102,'01-Cadastro-Motos'!$A$4:$A$123,0)),""))</f>
        <v/>
      </c>
      <c r="E102" s="15">
        <f>IF(OR($A102="",$D102=""),"",$C102*'00-Parametros'!$C$13*($D102/30))</f>
        <v/>
      </c>
      <c r="F102" s="15">
        <f>IF(OR($A102="",$D102=""),"",$C102*'00-Parametros'!$C$14*($D102/30))</f>
        <v/>
      </c>
      <c r="G102" s="19">
        <f>IF(OR($A102="",$D102="",$D102=0),"",'00-Parametros'!$C$15/$D102)</f>
        <v/>
      </c>
    </row>
    <row r="103">
      <c r="A103" s="18">
        <f>IF('01-Cadastro-Motos'!$A103="","",'01-Cadastro-Motos'!$A103)</f>
        <v/>
      </c>
      <c r="B103" s="18">
        <f>IF($A103="","",IFERROR(INDEX('01-Cadastro-Motos'!$B$4:$B$123,MATCH($A103,'01-Cadastro-Motos'!$A$4:$A$123,0)),""))</f>
        <v/>
      </c>
      <c r="C103" s="15">
        <f>IF($A103="","",IFERROR(INDEX('01-Cadastro-Motos'!$I$4:$I$123,MATCH($A103,'01-Cadastro-Motos'!$A$4:$A$123,0)),""))</f>
        <v/>
      </c>
      <c r="D103" s="18">
        <f>IF($A103="","",IFERROR(INDEX('01-Cadastro-Motos'!$P$4:$P$123,MATCH($A103,'01-Cadastro-Motos'!$A$4:$A$123,0)),""))</f>
        <v/>
      </c>
      <c r="E103" s="15">
        <f>IF(OR($A103="",$D103=""),"",$C103*'00-Parametros'!$C$13*($D103/30))</f>
        <v/>
      </c>
      <c r="F103" s="15">
        <f>IF(OR($A103="",$D103=""),"",$C103*'00-Parametros'!$C$14*($D103/30))</f>
        <v/>
      </c>
      <c r="G103" s="19">
        <f>IF(OR($A103="",$D103="",$D103=0),"",'00-Parametros'!$C$15/$D103)</f>
        <v/>
      </c>
    </row>
    <row r="104">
      <c r="A104" s="18">
        <f>IF('01-Cadastro-Motos'!$A104="","",'01-Cadastro-Motos'!$A104)</f>
        <v/>
      </c>
      <c r="B104" s="18">
        <f>IF($A104="","",IFERROR(INDEX('01-Cadastro-Motos'!$B$4:$B$123,MATCH($A104,'01-Cadastro-Motos'!$A$4:$A$123,0)),""))</f>
        <v/>
      </c>
      <c r="C104" s="15">
        <f>IF($A104="","",IFERROR(INDEX('01-Cadastro-Motos'!$I$4:$I$123,MATCH($A104,'01-Cadastro-Motos'!$A$4:$A$123,0)),""))</f>
        <v/>
      </c>
      <c r="D104" s="18">
        <f>IF($A104="","",IFERROR(INDEX('01-Cadastro-Motos'!$P$4:$P$123,MATCH($A104,'01-Cadastro-Motos'!$A$4:$A$123,0)),""))</f>
        <v/>
      </c>
      <c r="E104" s="15">
        <f>IF(OR($A104="",$D104=""),"",$C104*'00-Parametros'!$C$13*($D104/30))</f>
        <v/>
      </c>
      <c r="F104" s="15">
        <f>IF(OR($A104="",$D104=""),"",$C104*'00-Parametros'!$C$14*($D104/30))</f>
        <v/>
      </c>
      <c r="G104" s="19">
        <f>IF(OR($A104="",$D104="",$D104=0),"",'00-Parametros'!$C$15/$D104)</f>
        <v/>
      </c>
    </row>
    <row r="105">
      <c r="A105" s="18">
        <f>IF('01-Cadastro-Motos'!$A105="","",'01-Cadastro-Motos'!$A105)</f>
        <v/>
      </c>
      <c r="B105" s="18">
        <f>IF($A105="","",IFERROR(INDEX('01-Cadastro-Motos'!$B$4:$B$123,MATCH($A105,'01-Cadastro-Motos'!$A$4:$A$123,0)),""))</f>
        <v/>
      </c>
      <c r="C105" s="15">
        <f>IF($A105="","",IFERROR(INDEX('01-Cadastro-Motos'!$I$4:$I$123,MATCH($A105,'01-Cadastro-Motos'!$A$4:$A$123,0)),""))</f>
        <v/>
      </c>
      <c r="D105" s="18">
        <f>IF($A105="","",IFERROR(INDEX('01-Cadastro-Motos'!$P$4:$P$123,MATCH($A105,'01-Cadastro-Motos'!$A$4:$A$123,0)),""))</f>
        <v/>
      </c>
      <c r="E105" s="15">
        <f>IF(OR($A105="",$D105=""),"",$C105*'00-Parametros'!$C$13*($D105/30))</f>
        <v/>
      </c>
      <c r="F105" s="15">
        <f>IF(OR($A105="",$D105=""),"",$C105*'00-Parametros'!$C$14*($D105/30))</f>
        <v/>
      </c>
      <c r="G105" s="19">
        <f>IF(OR($A105="",$D105="",$D105=0),"",'00-Parametros'!$C$15/$D105)</f>
        <v/>
      </c>
    </row>
    <row r="106">
      <c r="A106" s="18">
        <f>IF('01-Cadastro-Motos'!$A106="","",'01-Cadastro-Motos'!$A106)</f>
        <v/>
      </c>
      <c r="B106" s="18">
        <f>IF($A106="","",IFERROR(INDEX('01-Cadastro-Motos'!$B$4:$B$123,MATCH($A106,'01-Cadastro-Motos'!$A$4:$A$123,0)),""))</f>
        <v/>
      </c>
      <c r="C106" s="15">
        <f>IF($A106="","",IFERROR(INDEX('01-Cadastro-Motos'!$I$4:$I$123,MATCH($A106,'01-Cadastro-Motos'!$A$4:$A$123,0)),""))</f>
        <v/>
      </c>
      <c r="D106" s="18">
        <f>IF($A106="","",IFERROR(INDEX('01-Cadastro-Motos'!$P$4:$P$123,MATCH($A106,'01-Cadastro-Motos'!$A$4:$A$123,0)),""))</f>
        <v/>
      </c>
      <c r="E106" s="15">
        <f>IF(OR($A106="",$D106=""),"",$C106*'00-Parametros'!$C$13*($D106/30))</f>
        <v/>
      </c>
      <c r="F106" s="15">
        <f>IF(OR($A106="",$D106=""),"",$C106*'00-Parametros'!$C$14*($D106/30))</f>
        <v/>
      </c>
      <c r="G106" s="19">
        <f>IF(OR($A106="",$D106="",$D106=0),"",'00-Parametros'!$C$15/$D106)</f>
        <v/>
      </c>
    </row>
    <row r="107">
      <c r="A107" s="18">
        <f>IF('01-Cadastro-Motos'!$A107="","",'01-Cadastro-Motos'!$A107)</f>
        <v/>
      </c>
      <c r="B107" s="18">
        <f>IF($A107="","",IFERROR(INDEX('01-Cadastro-Motos'!$B$4:$B$123,MATCH($A107,'01-Cadastro-Motos'!$A$4:$A$123,0)),""))</f>
        <v/>
      </c>
      <c r="C107" s="15">
        <f>IF($A107="","",IFERROR(INDEX('01-Cadastro-Motos'!$I$4:$I$123,MATCH($A107,'01-Cadastro-Motos'!$A$4:$A$123,0)),""))</f>
        <v/>
      </c>
      <c r="D107" s="18">
        <f>IF($A107="","",IFERROR(INDEX('01-Cadastro-Motos'!$P$4:$P$123,MATCH($A107,'01-Cadastro-Motos'!$A$4:$A$123,0)),""))</f>
        <v/>
      </c>
      <c r="E107" s="15">
        <f>IF(OR($A107="",$D107=""),"",$C107*'00-Parametros'!$C$13*($D107/30))</f>
        <v/>
      </c>
      <c r="F107" s="15">
        <f>IF(OR($A107="",$D107=""),"",$C107*'00-Parametros'!$C$14*($D107/30))</f>
        <v/>
      </c>
      <c r="G107" s="19">
        <f>IF(OR($A107="",$D107="",$D107=0),"",'00-Parametros'!$C$15/$D107)</f>
        <v/>
      </c>
    </row>
    <row r="108">
      <c r="A108" s="18">
        <f>IF('01-Cadastro-Motos'!$A108="","",'01-Cadastro-Motos'!$A108)</f>
        <v/>
      </c>
      <c r="B108" s="18">
        <f>IF($A108="","",IFERROR(INDEX('01-Cadastro-Motos'!$B$4:$B$123,MATCH($A108,'01-Cadastro-Motos'!$A$4:$A$123,0)),""))</f>
        <v/>
      </c>
      <c r="C108" s="15">
        <f>IF($A108="","",IFERROR(INDEX('01-Cadastro-Motos'!$I$4:$I$123,MATCH($A108,'01-Cadastro-Motos'!$A$4:$A$123,0)),""))</f>
        <v/>
      </c>
      <c r="D108" s="18">
        <f>IF($A108="","",IFERROR(INDEX('01-Cadastro-Motos'!$P$4:$P$123,MATCH($A108,'01-Cadastro-Motos'!$A$4:$A$123,0)),""))</f>
        <v/>
      </c>
      <c r="E108" s="15">
        <f>IF(OR($A108="",$D108=""),"",$C108*'00-Parametros'!$C$13*($D108/30))</f>
        <v/>
      </c>
      <c r="F108" s="15">
        <f>IF(OR($A108="",$D108=""),"",$C108*'00-Parametros'!$C$14*($D108/30))</f>
        <v/>
      </c>
      <c r="G108" s="19">
        <f>IF(OR($A108="",$D108="",$D108=0),"",'00-Parametros'!$C$15/$D108)</f>
        <v/>
      </c>
    </row>
    <row r="109">
      <c r="A109" s="18">
        <f>IF('01-Cadastro-Motos'!$A109="","",'01-Cadastro-Motos'!$A109)</f>
        <v/>
      </c>
      <c r="B109" s="18">
        <f>IF($A109="","",IFERROR(INDEX('01-Cadastro-Motos'!$B$4:$B$123,MATCH($A109,'01-Cadastro-Motos'!$A$4:$A$123,0)),""))</f>
        <v/>
      </c>
      <c r="C109" s="15">
        <f>IF($A109="","",IFERROR(INDEX('01-Cadastro-Motos'!$I$4:$I$123,MATCH($A109,'01-Cadastro-Motos'!$A$4:$A$123,0)),""))</f>
        <v/>
      </c>
      <c r="D109" s="18">
        <f>IF($A109="","",IFERROR(INDEX('01-Cadastro-Motos'!$P$4:$P$123,MATCH($A109,'01-Cadastro-Motos'!$A$4:$A$123,0)),""))</f>
        <v/>
      </c>
      <c r="E109" s="15">
        <f>IF(OR($A109="",$D109=""),"",$C109*'00-Parametros'!$C$13*($D109/30))</f>
        <v/>
      </c>
      <c r="F109" s="15">
        <f>IF(OR($A109="",$D109=""),"",$C109*'00-Parametros'!$C$14*($D109/30))</f>
        <v/>
      </c>
      <c r="G109" s="19">
        <f>IF(OR($A109="",$D109="",$D109=0),"",'00-Parametros'!$C$15/$D109)</f>
        <v/>
      </c>
    </row>
    <row r="110">
      <c r="A110" s="18">
        <f>IF('01-Cadastro-Motos'!$A110="","",'01-Cadastro-Motos'!$A110)</f>
        <v/>
      </c>
      <c r="B110" s="18">
        <f>IF($A110="","",IFERROR(INDEX('01-Cadastro-Motos'!$B$4:$B$123,MATCH($A110,'01-Cadastro-Motos'!$A$4:$A$123,0)),""))</f>
        <v/>
      </c>
      <c r="C110" s="15">
        <f>IF($A110="","",IFERROR(INDEX('01-Cadastro-Motos'!$I$4:$I$123,MATCH($A110,'01-Cadastro-Motos'!$A$4:$A$123,0)),""))</f>
        <v/>
      </c>
      <c r="D110" s="18">
        <f>IF($A110="","",IFERROR(INDEX('01-Cadastro-Motos'!$P$4:$P$123,MATCH($A110,'01-Cadastro-Motos'!$A$4:$A$123,0)),""))</f>
        <v/>
      </c>
      <c r="E110" s="15">
        <f>IF(OR($A110="",$D110=""),"",$C110*'00-Parametros'!$C$13*($D110/30))</f>
        <v/>
      </c>
      <c r="F110" s="15">
        <f>IF(OR($A110="",$D110=""),"",$C110*'00-Parametros'!$C$14*($D110/30))</f>
        <v/>
      </c>
      <c r="G110" s="19">
        <f>IF(OR($A110="",$D110="",$D110=0),"",'00-Parametros'!$C$15/$D110)</f>
        <v/>
      </c>
    </row>
    <row r="111">
      <c r="A111" s="18">
        <f>IF('01-Cadastro-Motos'!$A111="","",'01-Cadastro-Motos'!$A111)</f>
        <v/>
      </c>
      <c r="B111" s="18">
        <f>IF($A111="","",IFERROR(INDEX('01-Cadastro-Motos'!$B$4:$B$123,MATCH($A111,'01-Cadastro-Motos'!$A$4:$A$123,0)),""))</f>
        <v/>
      </c>
      <c r="C111" s="15">
        <f>IF($A111="","",IFERROR(INDEX('01-Cadastro-Motos'!$I$4:$I$123,MATCH($A111,'01-Cadastro-Motos'!$A$4:$A$123,0)),""))</f>
        <v/>
      </c>
      <c r="D111" s="18">
        <f>IF($A111="","",IFERROR(INDEX('01-Cadastro-Motos'!$P$4:$P$123,MATCH($A111,'01-Cadastro-Motos'!$A$4:$A$123,0)),""))</f>
        <v/>
      </c>
      <c r="E111" s="15">
        <f>IF(OR($A111="",$D111=""),"",$C111*'00-Parametros'!$C$13*($D111/30))</f>
        <v/>
      </c>
      <c r="F111" s="15">
        <f>IF(OR($A111="",$D111=""),"",$C111*'00-Parametros'!$C$14*($D111/30))</f>
        <v/>
      </c>
      <c r="G111" s="19">
        <f>IF(OR($A111="",$D111="",$D111=0),"",'00-Parametros'!$C$15/$D111)</f>
        <v/>
      </c>
    </row>
    <row r="112">
      <c r="A112" s="18">
        <f>IF('01-Cadastro-Motos'!$A112="","",'01-Cadastro-Motos'!$A112)</f>
        <v/>
      </c>
      <c r="B112" s="18">
        <f>IF($A112="","",IFERROR(INDEX('01-Cadastro-Motos'!$B$4:$B$123,MATCH($A112,'01-Cadastro-Motos'!$A$4:$A$123,0)),""))</f>
        <v/>
      </c>
      <c r="C112" s="15">
        <f>IF($A112="","",IFERROR(INDEX('01-Cadastro-Motos'!$I$4:$I$123,MATCH($A112,'01-Cadastro-Motos'!$A$4:$A$123,0)),""))</f>
        <v/>
      </c>
      <c r="D112" s="18">
        <f>IF($A112="","",IFERROR(INDEX('01-Cadastro-Motos'!$P$4:$P$123,MATCH($A112,'01-Cadastro-Motos'!$A$4:$A$123,0)),""))</f>
        <v/>
      </c>
      <c r="E112" s="15">
        <f>IF(OR($A112="",$D112=""),"",$C112*'00-Parametros'!$C$13*($D112/30))</f>
        <v/>
      </c>
      <c r="F112" s="15">
        <f>IF(OR($A112="",$D112=""),"",$C112*'00-Parametros'!$C$14*($D112/30))</f>
        <v/>
      </c>
      <c r="G112" s="19">
        <f>IF(OR($A112="",$D112="",$D112=0),"",'00-Parametros'!$C$15/$D112)</f>
        <v/>
      </c>
    </row>
    <row r="113">
      <c r="A113" s="18">
        <f>IF('01-Cadastro-Motos'!$A113="","",'01-Cadastro-Motos'!$A113)</f>
        <v/>
      </c>
      <c r="B113" s="18">
        <f>IF($A113="","",IFERROR(INDEX('01-Cadastro-Motos'!$B$4:$B$123,MATCH($A113,'01-Cadastro-Motos'!$A$4:$A$123,0)),""))</f>
        <v/>
      </c>
      <c r="C113" s="15">
        <f>IF($A113="","",IFERROR(INDEX('01-Cadastro-Motos'!$I$4:$I$123,MATCH($A113,'01-Cadastro-Motos'!$A$4:$A$123,0)),""))</f>
        <v/>
      </c>
      <c r="D113" s="18">
        <f>IF($A113="","",IFERROR(INDEX('01-Cadastro-Motos'!$P$4:$P$123,MATCH($A113,'01-Cadastro-Motos'!$A$4:$A$123,0)),""))</f>
        <v/>
      </c>
      <c r="E113" s="15">
        <f>IF(OR($A113="",$D113=""),"",$C113*'00-Parametros'!$C$13*($D113/30))</f>
        <v/>
      </c>
      <c r="F113" s="15">
        <f>IF(OR($A113="",$D113=""),"",$C113*'00-Parametros'!$C$14*($D113/30))</f>
        <v/>
      </c>
      <c r="G113" s="19">
        <f>IF(OR($A113="",$D113="",$D113=0),"",'00-Parametros'!$C$15/$D113)</f>
        <v/>
      </c>
    </row>
    <row r="114">
      <c r="A114" s="18">
        <f>IF('01-Cadastro-Motos'!$A114="","",'01-Cadastro-Motos'!$A114)</f>
        <v/>
      </c>
      <c r="B114" s="18">
        <f>IF($A114="","",IFERROR(INDEX('01-Cadastro-Motos'!$B$4:$B$123,MATCH($A114,'01-Cadastro-Motos'!$A$4:$A$123,0)),""))</f>
        <v/>
      </c>
      <c r="C114" s="15">
        <f>IF($A114="","",IFERROR(INDEX('01-Cadastro-Motos'!$I$4:$I$123,MATCH($A114,'01-Cadastro-Motos'!$A$4:$A$123,0)),""))</f>
        <v/>
      </c>
      <c r="D114" s="18">
        <f>IF($A114="","",IFERROR(INDEX('01-Cadastro-Motos'!$P$4:$P$123,MATCH($A114,'01-Cadastro-Motos'!$A$4:$A$123,0)),""))</f>
        <v/>
      </c>
      <c r="E114" s="15">
        <f>IF(OR($A114="",$D114=""),"",$C114*'00-Parametros'!$C$13*($D114/30))</f>
        <v/>
      </c>
      <c r="F114" s="15">
        <f>IF(OR($A114="",$D114=""),"",$C114*'00-Parametros'!$C$14*($D114/30))</f>
        <v/>
      </c>
      <c r="G114" s="19">
        <f>IF(OR($A114="",$D114="",$D114=0),"",'00-Parametros'!$C$15/$D114)</f>
        <v/>
      </c>
    </row>
    <row r="115">
      <c r="A115" s="18">
        <f>IF('01-Cadastro-Motos'!$A115="","",'01-Cadastro-Motos'!$A115)</f>
        <v/>
      </c>
      <c r="B115" s="18">
        <f>IF($A115="","",IFERROR(INDEX('01-Cadastro-Motos'!$B$4:$B$123,MATCH($A115,'01-Cadastro-Motos'!$A$4:$A$123,0)),""))</f>
        <v/>
      </c>
      <c r="C115" s="15">
        <f>IF($A115="","",IFERROR(INDEX('01-Cadastro-Motos'!$I$4:$I$123,MATCH($A115,'01-Cadastro-Motos'!$A$4:$A$123,0)),""))</f>
        <v/>
      </c>
      <c r="D115" s="18">
        <f>IF($A115="","",IFERROR(INDEX('01-Cadastro-Motos'!$P$4:$P$123,MATCH($A115,'01-Cadastro-Motos'!$A$4:$A$123,0)),""))</f>
        <v/>
      </c>
      <c r="E115" s="15">
        <f>IF(OR($A115="",$D115=""),"",$C115*'00-Parametros'!$C$13*($D115/30))</f>
        <v/>
      </c>
      <c r="F115" s="15">
        <f>IF(OR($A115="",$D115=""),"",$C115*'00-Parametros'!$C$14*($D115/30))</f>
        <v/>
      </c>
      <c r="G115" s="19">
        <f>IF(OR($A115="",$D115="",$D115=0),"",'00-Parametros'!$C$15/$D115)</f>
        <v/>
      </c>
    </row>
    <row r="116">
      <c r="A116" s="18">
        <f>IF('01-Cadastro-Motos'!$A116="","",'01-Cadastro-Motos'!$A116)</f>
        <v/>
      </c>
      <c r="B116" s="18">
        <f>IF($A116="","",IFERROR(INDEX('01-Cadastro-Motos'!$B$4:$B$123,MATCH($A116,'01-Cadastro-Motos'!$A$4:$A$123,0)),""))</f>
        <v/>
      </c>
      <c r="C116" s="15">
        <f>IF($A116="","",IFERROR(INDEX('01-Cadastro-Motos'!$I$4:$I$123,MATCH($A116,'01-Cadastro-Motos'!$A$4:$A$123,0)),""))</f>
        <v/>
      </c>
      <c r="D116" s="18">
        <f>IF($A116="","",IFERROR(INDEX('01-Cadastro-Motos'!$P$4:$P$123,MATCH($A116,'01-Cadastro-Motos'!$A$4:$A$123,0)),""))</f>
        <v/>
      </c>
      <c r="E116" s="15">
        <f>IF(OR($A116="",$D116=""),"",$C116*'00-Parametros'!$C$13*($D116/30))</f>
        <v/>
      </c>
      <c r="F116" s="15">
        <f>IF(OR($A116="",$D116=""),"",$C116*'00-Parametros'!$C$14*($D116/30))</f>
        <v/>
      </c>
      <c r="G116" s="19">
        <f>IF(OR($A116="",$D116="",$D116=0),"",'00-Parametros'!$C$15/$D116)</f>
        <v/>
      </c>
    </row>
    <row r="117">
      <c r="A117" s="18">
        <f>IF('01-Cadastro-Motos'!$A117="","",'01-Cadastro-Motos'!$A117)</f>
        <v/>
      </c>
      <c r="B117" s="18">
        <f>IF($A117="","",IFERROR(INDEX('01-Cadastro-Motos'!$B$4:$B$123,MATCH($A117,'01-Cadastro-Motos'!$A$4:$A$123,0)),""))</f>
        <v/>
      </c>
      <c r="C117" s="15">
        <f>IF($A117="","",IFERROR(INDEX('01-Cadastro-Motos'!$I$4:$I$123,MATCH($A117,'01-Cadastro-Motos'!$A$4:$A$123,0)),""))</f>
        <v/>
      </c>
      <c r="D117" s="18">
        <f>IF($A117="","",IFERROR(INDEX('01-Cadastro-Motos'!$P$4:$P$123,MATCH($A117,'01-Cadastro-Motos'!$A$4:$A$123,0)),""))</f>
        <v/>
      </c>
      <c r="E117" s="15">
        <f>IF(OR($A117="",$D117=""),"",$C117*'00-Parametros'!$C$13*($D117/30))</f>
        <v/>
      </c>
      <c r="F117" s="15">
        <f>IF(OR($A117="",$D117=""),"",$C117*'00-Parametros'!$C$14*($D117/30))</f>
        <v/>
      </c>
      <c r="G117" s="19">
        <f>IF(OR($A117="",$D117="",$D117=0),"",'00-Parametros'!$C$15/$D117)</f>
        <v/>
      </c>
    </row>
    <row r="118">
      <c r="A118" s="18">
        <f>IF('01-Cadastro-Motos'!$A118="","",'01-Cadastro-Motos'!$A118)</f>
        <v/>
      </c>
      <c r="B118" s="18">
        <f>IF($A118="","",IFERROR(INDEX('01-Cadastro-Motos'!$B$4:$B$123,MATCH($A118,'01-Cadastro-Motos'!$A$4:$A$123,0)),""))</f>
        <v/>
      </c>
      <c r="C118" s="15">
        <f>IF($A118="","",IFERROR(INDEX('01-Cadastro-Motos'!$I$4:$I$123,MATCH($A118,'01-Cadastro-Motos'!$A$4:$A$123,0)),""))</f>
        <v/>
      </c>
      <c r="D118" s="18">
        <f>IF($A118="","",IFERROR(INDEX('01-Cadastro-Motos'!$P$4:$P$123,MATCH($A118,'01-Cadastro-Motos'!$A$4:$A$123,0)),""))</f>
        <v/>
      </c>
      <c r="E118" s="15">
        <f>IF(OR($A118="",$D118=""),"",$C118*'00-Parametros'!$C$13*($D118/30))</f>
        <v/>
      </c>
      <c r="F118" s="15">
        <f>IF(OR($A118="",$D118=""),"",$C118*'00-Parametros'!$C$14*($D118/30))</f>
        <v/>
      </c>
      <c r="G118" s="19">
        <f>IF(OR($A118="",$D118="",$D118=0),"",'00-Parametros'!$C$15/$D118)</f>
        <v/>
      </c>
    </row>
    <row r="119">
      <c r="A119" s="18">
        <f>IF('01-Cadastro-Motos'!$A119="","",'01-Cadastro-Motos'!$A119)</f>
        <v/>
      </c>
      <c r="B119" s="18">
        <f>IF($A119="","",IFERROR(INDEX('01-Cadastro-Motos'!$B$4:$B$123,MATCH($A119,'01-Cadastro-Motos'!$A$4:$A$123,0)),""))</f>
        <v/>
      </c>
      <c r="C119" s="15">
        <f>IF($A119="","",IFERROR(INDEX('01-Cadastro-Motos'!$I$4:$I$123,MATCH($A119,'01-Cadastro-Motos'!$A$4:$A$123,0)),""))</f>
        <v/>
      </c>
      <c r="D119" s="18">
        <f>IF($A119="","",IFERROR(INDEX('01-Cadastro-Motos'!$P$4:$P$123,MATCH($A119,'01-Cadastro-Motos'!$A$4:$A$123,0)),""))</f>
        <v/>
      </c>
      <c r="E119" s="15">
        <f>IF(OR($A119="",$D119=""),"",$C119*'00-Parametros'!$C$13*($D119/30))</f>
        <v/>
      </c>
      <c r="F119" s="15">
        <f>IF(OR($A119="",$D119=""),"",$C119*'00-Parametros'!$C$14*($D119/30))</f>
        <v/>
      </c>
      <c r="G119" s="19">
        <f>IF(OR($A119="",$D119="",$D119=0),"",'00-Parametros'!$C$15/$D119)</f>
        <v/>
      </c>
    </row>
    <row r="120">
      <c r="A120" s="18">
        <f>IF('01-Cadastro-Motos'!$A120="","",'01-Cadastro-Motos'!$A120)</f>
        <v/>
      </c>
      <c r="B120" s="18">
        <f>IF($A120="","",IFERROR(INDEX('01-Cadastro-Motos'!$B$4:$B$123,MATCH($A120,'01-Cadastro-Motos'!$A$4:$A$123,0)),""))</f>
        <v/>
      </c>
      <c r="C120" s="15">
        <f>IF($A120="","",IFERROR(INDEX('01-Cadastro-Motos'!$I$4:$I$123,MATCH($A120,'01-Cadastro-Motos'!$A$4:$A$123,0)),""))</f>
        <v/>
      </c>
      <c r="D120" s="18">
        <f>IF($A120="","",IFERROR(INDEX('01-Cadastro-Motos'!$P$4:$P$123,MATCH($A120,'01-Cadastro-Motos'!$A$4:$A$123,0)),""))</f>
        <v/>
      </c>
      <c r="E120" s="15">
        <f>IF(OR($A120="",$D120=""),"",$C120*'00-Parametros'!$C$13*($D120/30))</f>
        <v/>
      </c>
      <c r="F120" s="15">
        <f>IF(OR($A120="",$D120=""),"",$C120*'00-Parametros'!$C$14*($D120/30))</f>
        <v/>
      </c>
      <c r="G120" s="19">
        <f>IF(OR($A120="",$D120="",$D120=0),"",'00-Parametros'!$C$15/$D120)</f>
        <v/>
      </c>
    </row>
    <row r="121">
      <c r="A121" s="18">
        <f>IF('01-Cadastro-Motos'!$A121="","",'01-Cadastro-Motos'!$A121)</f>
        <v/>
      </c>
      <c r="B121" s="18">
        <f>IF($A121="","",IFERROR(INDEX('01-Cadastro-Motos'!$B$4:$B$123,MATCH($A121,'01-Cadastro-Motos'!$A$4:$A$123,0)),""))</f>
        <v/>
      </c>
      <c r="C121" s="15">
        <f>IF($A121="","",IFERROR(INDEX('01-Cadastro-Motos'!$I$4:$I$123,MATCH($A121,'01-Cadastro-Motos'!$A$4:$A$123,0)),""))</f>
        <v/>
      </c>
      <c r="D121" s="18">
        <f>IF($A121="","",IFERROR(INDEX('01-Cadastro-Motos'!$P$4:$P$123,MATCH($A121,'01-Cadastro-Motos'!$A$4:$A$123,0)),""))</f>
        <v/>
      </c>
      <c r="E121" s="15">
        <f>IF(OR($A121="",$D121=""),"",$C121*'00-Parametros'!$C$13*($D121/30))</f>
        <v/>
      </c>
      <c r="F121" s="15">
        <f>IF(OR($A121="",$D121=""),"",$C121*'00-Parametros'!$C$14*($D121/30))</f>
        <v/>
      </c>
      <c r="G121" s="19">
        <f>IF(OR($A121="",$D121="",$D121=0),"",'00-Parametros'!$C$15/$D121)</f>
        <v/>
      </c>
    </row>
    <row r="122">
      <c r="A122" s="18">
        <f>IF('01-Cadastro-Motos'!$A122="","",'01-Cadastro-Motos'!$A122)</f>
        <v/>
      </c>
      <c r="B122" s="18">
        <f>IF($A122="","",IFERROR(INDEX('01-Cadastro-Motos'!$B$4:$B$123,MATCH($A122,'01-Cadastro-Motos'!$A$4:$A$123,0)),""))</f>
        <v/>
      </c>
      <c r="C122" s="15">
        <f>IF($A122="","",IFERROR(INDEX('01-Cadastro-Motos'!$I$4:$I$123,MATCH($A122,'01-Cadastro-Motos'!$A$4:$A$123,0)),""))</f>
        <v/>
      </c>
      <c r="D122" s="18">
        <f>IF($A122="","",IFERROR(INDEX('01-Cadastro-Motos'!$P$4:$P$123,MATCH($A122,'01-Cadastro-Motos'!$A$4:$A$123,0)),""))</f>
        <v/>
      </c>
      <c r="E122" s="15">
        <f>IF(OR($A122="",$D122=""),"",$C122*'00-Parametros'!$C$13*($D122/30))</f>
        <v/>
      </c>
      <c r="F122" s="15">
        <f>IF(OR($A122="",$D122=""),"",$C122*'00-Parametros'!$C$14*($D122/30))</f>
        <v/>
      </c>
      <c r="G122" s="19">
        <f>IF(OR($A122="",$D122="",$D122=0),"",'00-Parametros'!$C$15/$D122)</f>
        <v/>
      </c>
    </row>
    <row r="123">
      <c r="A123" s="18">
        <f>IF('01-Cadastro-Motos'!$A123="","",'01-Cadastro-Motos'!$A123)</f>
        <v/>
      </c>
      <c r="B123" s="18">
        <f>IF($A123="","",IFERROR(INDEX('01-Cadastro-Motos'!$B$4:$B$123,MATCH($A123,'01-Cadastro-Motos'!$A$4:$A$123,0)),""))</f>
        <v/>
      </c>
      <c r="C123" s="15">
        <f>IF($A123="","",IFERROR(INDEX('01-Cadastro-Motos'!$I$4:$I$123,MATCH($A123,'01-Cadastro-Motos'!$A$4:$A$123,0)),""))</f>
        <v/>
      </c>
      <c r="D123" s="18">
        <f>IF($A123="","",IFERROR(INDEX('01-Cadastro-Motos'!$P$4:$P$123,MATCH($A123,'01-Cadastro-Motos'!$A$4:$A$123,0)),""))</f>
        <v/>
      </c>
      <c r="E123" s="15">
        <f>IF(OR($A123="",$D123=""),"",$C123*'00-Parametros'!$C$13*($D123/30))</f>
        <v/>
      </c>
      <c r="F123" s="15">
        <f>IF(OR($A123="",$D123=""),"",$C123*'00-Parametros'!$C$14*($D123/30))</f>
        <v/>
      </c>
      <c r="G123" s="19">
        <f>IF(OR($A123="",$D123="",$D123=0),"",'00-Parametros'!$C$15/$D123)</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3"/>
  <sheetViews>
    <sheetView workbookViewId="0">
      <pane ySplit="3" topLeftCell="A4" activePane="bottomLeft" state="frozen"/>
      <selection pane="bottomLeft" activeCell="A1" sqref="A1"/>
    </sheetView>
  </sheetViews>
  <sheetFormatPr baseColWidth="8" defaultRowHeight="15" outlineLevelCol="0"/>
  <cols>
    <col width="12" customWidth="1" min="1" max="1"/>
    <col width="22" customWidth="1" min="2" max="2"/>
    <col width="13" customWidth="1" min="3" max="3"/>
    <col width="13" customWidth="1" min="4" max="4"/>
    <col width="15" customWidth="1" min="5" max="5"/>
    <col width="15" customWidth="1" min="6" max="6"/>
    <col width="13" customWidth="1" min="7" max="7"/>
    <col width="15" customWidth="1" min="8" max="8"/>
    <col width="15" customWidth="1" min="9" max="9"/>
    <col width="16" customWidth="1" min="10" max="10"/>
    <col width="16" customWidth="1" min="11" max="11"/>
    <col width="13" customWidth="1" min="12" max="12"/>
    <col width="20" customWidth="1" min="13" max="13"/>
  </cols>
  <sheetData>
    <row r="1">
      <c r="A1" s="1" t="inlineStr">
        <is>
          <t>Motor de Precificação — Método do Divisor (Pilar 11 do manual)</t>
        </is>
      </c>
    </row>
    <row r="3">
      <c r="A3" s="4" t="inlineStr">
        <is>
          <t>ID Moto</t>
        </is>
      </c>
      <c r="B3" s="4" t="inlineStr">
        <is>
          <t>Modelo (auto)</t>
        </is>
      </c>
      <c r="C3" s="4" t="inlineStr">
        <is>
          <t>Valor Compra</t>
        </is>
      </c>
      <c r="D3" s="4" t="inlineStr">
        <is>
          <t>Custos Diretos</t>
        </is>
      </c>
      <c r="E3" s="4" t="inlineStr">
        <is>
          <t>Custo Financ. Provisionado</t>
        </is>
      </c>
      <c r="F3" s="4" t="inlineStr">
        <is>
          <t>Custo Operacional Rateado</t>
        </is>
      </c>
      <c r="G3" s="4" t="inlineStr">
        <is>
          <t>CUSTO BASE</t>
        </is>
      </c>
      <c r="H3" s="4" t="inlineStr">
        <is>
          <t>Preço Estratégico</t>
        </is>
      </c>
      <c r="I3" s="4" t="inlineStr">
        <is>
          <t>Preço Comercial</t>
        </is>
      </c>
      <c r="J3" s="4" t="inlineStr">
        <is>
          <t>Preço de Negociação</t>
        </is>
      </c>
      <c r="K3" s="4" t="inlineStr">
        <is>
          <t>LP (piso)</t>
        </is>
      </c>
      <c r="L3" s="4" t="inlineStr">
        <is>
          <t>ICP (vs. mercado)</t>
        </is>
      </c>
      <c r="M3" s="20" t="inlineStr">
        <is>
          <t>Preço Médio Mercado (input p/ ICP)</t>
        </is>
      </c>
    </row>
    <row r="4">
      <c r="A4" s="18">
        <f>IF('01-Cadastro-Motos'!$A4="","",'01-Cadastro-Motos'!$A4)</f>
        <v/>
      </c>
      <c r="B4" s="18">
        <f>IF($A4="","",IFERROR(INDEX('01-Cadastro-Motos'!$B$4:$B$123,MATCH($A4,'01-Cadastro-Motos'!$A$4:$A$123,0)),""))</f>
        <v/>
      </c>
      <c r="C4" s="15">
        <f>IF($A4="","",IFERROR(INDEX('01-Cadastro-Motos'!$I$4:$I$123,MATCH($A4,'01-Cadastro-Motos'!$A$4:$A$123,0)),""))</f>
        <v/>
      </c>
      <c r="D4" s="15">
        <f>IF($A4="","",IFERROR(INDEX('02-Custos-Diretos'!$J$4:$J$123,MATCH($A4,'02-Custos-Diretos'!$A$4:$A$123,0)),0))</f>
        <v/>
      </c>
      <c r="E4" s="15">
        <f>IF($A4="","",$C4*'00-Parametros'!$C$13*('00-Parametros'!$C$15/30))</f>
        <v/>
      </c>
      <c r="F4" s="15">
        <f>IF($A4="","",'00-Parametros'!$C$16)</f>
        <v/>
      </c>
      <c r="G4" s="15">
        <f>IF($A4="","",SUM(C4:F4))</f>
        <v/>
      </c>
      <c r="H4" s="21">
        <f>IF($A4="","",$G4/(1-(('00-Parametros'!$C$9+'00-Parametros'!$C$10+'00-Parametros'!$C$11+'00-Parametros'!$C$12)+'00-Parametros'!$C$5)))</f>
        <v/>
      </c>
      <c r="I4" s="21">
        <f>IF($A4="","",$G4/(1-(('00-Parametros'!$C$9+'00-Parametros'!$C$10+'00-Parametros'!$C$11+'00-Parametros'!$C$12)+'00-Parametros'!$C$6)))</f>
        <v/>
      </c>
      <c r="J4" s="21">
        <f>IF($A4="","",$G4/(1-(('00-Parametros'!$C$9+'00-Parametros'!$C$10+'00-Parametros'!$C$11+'00-Parametros'!$C$12)+'00-Parametros'!$C$7)))</f>
        <v/>
      </c>
      <c r="K4" s="21">
        <f>IF($A4="","",$G4/(1-(('00-Parametros'!$C$9+'00-Parametros'!$C$10+'00-Parametros'!$C$11+'00-Parametros'!$C$12)+'00-Parametros'!$C$8)))</f>
        <v/>
      </c>
      <c r="L4" s="19">
        <f>IF(OR($A4="",$M4="",$M4=0),"",$I4/$M4)</f>
        <v/>
      </c>
      <c r="M4" s="9" t="n">
        <v>14700</v>
      </c>
    </row>
    <row r="5">
      <c r="A5" s="18">
        <f>IF('01-Cadastro-Motos'!$A5="","",'01-Cadastro-Motos'!$A5)</f>
        <v/>
      </c>
      <c r="B5" s="18">
        <f>IF($A5="","",IFERROR(INDEX('01-Cadastro-Motos'!$B$4:$B$123,MATCH($A5,'01-Cadastro-Motos'!$A$4:$A$123,0)),""))</f>
        <v/>
      </c>
      <c r="C5" s="15">
        <f>IF($A5="","",IFERROR(INDEX('01-Cadastro-Motos'!$I$4:$I$123,MATCH($A5,'01-Cadastro-Motos'!$A$4:$A$123,0)),""))</f>
        <v/>
      </c>
      <c r="D5" s="15">
        <f>IF($A5="","",IFERROR(INDEX('02-Custos-Diretos'!$J$4:$J$123,MATCH($A5,'02-Custos-Diretos'!$A$4:$A$123,0)),0))</f>
        <v/>
      </c>
      <c r="E5" s="15">
        <f>IF($A5="","",$C5*'00-Parametros'!$C$13*('00-Parametros'!$C$15/30))</f>
        <v/>
      </c>
      <c r="F5" s="15">
        <f>IF($A5="","",'00-Parametros'!$C$16)</f>
        <v/>
      </c>
      <c r="G5" s="15">
        <f>IF($A5="","",SUM(C5:F5))</f>
        <v/>
      </c>
      <c r="H5" s="21">
        <f>IF($A5="","",$G5/(1-(('00-Parametros'!$C$9+'00-Parametros'!$C$10+'00-Parametros'!$C$11+'00-Parametros'!$C$12)+'00-Parametros'!$C$5)))</f>
        <v/>
      </c>
      <c r="I5" s="21">
        <f>IF($A5="","",$G5/(1-(('00-Parametros'!$C$9+'00-Parametros'!$C$10+'00-Parametros'!$C$11+'00-Parametros'!$C$12)+'00-Parametros'!$C$6)))</f>
        <v/>
      </c>
      <c r="J5" s="21">
        <f>IF($A5="","",$G5/(1-(('00-Parametros'!$C$9+'00-Parametros'!$C$10+'00-Parametros'!$C$11+'00-Parametros'!$C$12)+'00-Parametros'!$C$7)))</f>
        <v/>
      </c>
      <c r="K5" s="21">
        <f>IF($A5="","",$G5/(1-(('00-Parametros'!$C$9+'00-Parametros'!$C$10+'00-Parametros'!$C$11+'00-Parametros'!$C$12)+'00-Parametros'!$C$8)))</f>
        <v/>
      </c>
      <c r="L5" s="19">
        <f>IF(OR($A5="",$M5="",$M5=0),"",$I5/$M5)</f>
        <v/>
      </c>
      <c r="M5" s="9" t="n"/>
    </row>
    <row r="6">
      <c r="A6" s="18">
        <f>IF('01-Cadastro-Motos'!$A6="","",'01-Cadastro-Motos'!$A6)</f>
        <v/>
      </c>
      <c r="B6" s="18">
        <f>IF($A6="","",IFERROR(INDEX('01-Cadastro-Motos'!$B$4:$B$123,MATCH($A6,'01-Cadastro-Motos'!$A$4:$A$123,0)),""))</f>
        <v/>
      </c>
      <c r="C6" s="15">
        <f>IF($A6="","",IFERROR(INDEX('01-Cadastro-Motos'!$I$4:$I$123,MATCH($A6,'01-Cadastro-Motos'!$A$4:$A$123,0)),""))</f>
        <v/>
      </c>
      <c r="D6" s="15">
        <f>IF($A6="","",IFERROR(INDEX('02-Custos-Diretos'!$J$4:$J$123,MATCH($A6,'02-Custos-Diretos'!$A$4:$A$123,0)),0))</f>
        <v/>
      </c>
      <c r="E6" s="15">
        <f>IF($A6="","",$C6*'00-Parametros'!$C$13*('00-Parametros'!$C$15/30))</f>
        <v/>
      </c>
      <c r="F6" s="15">
        <f>IF($A6="","",'00-Parametros'!$C$16)</f>
        <v/>
      </c>
      <c r="G6" s="15">
        <f>IF($A6="","",SUM(C6:F6))</f>
        <v/>
      </c>
      <c r="H6" s="21">
        <f>IF($A6="","",$G6/(1-(('00-Parametros'!$C$9+'00-Parametros'!$C$10+'00-Parametros'!$C$11+'00-Parametros'!$C$12)+'00-Parametros'!$C$5)))</f>
        <v/>
      </c>
      <c r="I6" s="21">
        <f>IF($A6="","",$G6/(1-(('00-Parametros'!$C$9+'00-Parametros'!$C$10+'00-Parametros'!$C$11+'00-Parametros'!$C$12)+'00-Parametros'!$C$6)))</f>
        <v/>
      </c>
      <c r="J6" s="21">
        <f>IF($A6="","",$G6/(1-(('00-Parametros'!$C$9+'00-Parametros'!$C$10+'00-Parametros'!$C$11+'00-Parametros'!$C$12)+'00-Parametros'!$C$7)))</f>
        <v/>
      </c>
      <c r="K6" s="21">
        <f>IF($A6="","",$G6/(1-(('00-Parametros'!$C$9+'00-Parametros'!$C$10+'00-Parametros'!$C$11+'00-Parametros'!$C$12)+'00-Parametros'!$C$8)))</f>
        <v/>
      </c>
      <c r="L6" s="19">
        <f>IF(OR($A6="",$M6="",$M6=0),"",$I6/$M6)</f>
        <v/>
      </c>
      <c r="M6" s="9" t="n"/>
    </row>
    <row r="7">
      <c r="A7" s="18">
        <f>IF('01-Cadastro-Motos'!$A7="","",'01-Cadastro-Motos'!$A7)</f>
        <v/>
      </c>
      <c r="B7" s="18">
        <f>IF($A7="","",IFERROR(INDEX('01-Cadastro-Motos'!$B$4:$B$123,MATCH($A7,'01-Cadastro-Motos'!$A$4:$A$123,0)),""))</f>
        <v/>
      </c>
      <c r="C7" s="15">
        <f>IF($A7="","",IFERROR(INDEX('01-Cadastro-Motos'!$I$4:$I$123,MATCH($A7,'01-Cadastro-Motos'!$A$4:$A$123,0)),""))</f>
        <v/>
      </c>
      <c r="D7" s="15">
        <f>IF($A7="","",IFERROR(INDEX('02-Custos-Diretos'!$J$4:$J$123,MATCH($A7,'02-Custos-Diretos'!$A$4:$A$123,0)),0))</f>
        <v/>
      </c>
      <c r="E7" s="15">
        <f>IF($A7="","",$C7*'00-Parametros'!$C$13*('00-Parametros'!$C$15/30))</f>
        <v/>
      </c>
      <c r="F7" s="15">
        <f>IF($A7="","",'00-Parametros'!$C$16)</f>
        <v/>
      </c>
      <c r="G7" s="15">
        <f>IF($A7="","",SUM(C7:F7))</f>
        <v/>
      </c>
      <c r="H7" s="21">
        <f>IF($A7="","",$G7/(1-(('00-Parametros'!$C$9+'00-Parametros'!$C$10+'00-Parametros'!$C$11+'00-Parametros'!$C$12)+'00-Parametros'!$C$5)))</f>
        <v/>
      </c>
      <c r="I7" s="21">
        <f>IF($A7="","",$G7/(1-(('00-Parametros'!$C$9+'00-Parametros'!$C$10+'00-Parametros'!$C$11+'00-Parametros'!$C$12)+'00-Parametros'!$C$6)))</f>
        <v/>
      </c>
      <c r="J7" s="21">
        <f>IF($A7="","",$G7/(1-(('00-Parametros'!$C$9+'00-Parametros'!$C$10+'00-Parametros'!$C$11+'00-Parametros'!$C$12)+'00-Parametros'!$C$7)))</f>
        <v/>
      </c>
      <c r="K7" s="21">
        <f>IF($A7="","",$G7/(1-(('00-Parametros'!$C$9+'00-Parametros'!$C$10+'00-Parametros'!$C$11+'00-Parametros'!$C$12)+'00-Parametros'!$C$8)))</f>
        <v/>
      </c>
      <c r="L7" s="19">
        <f>IF(OR($A7="",$M7="",$M7=0),"",$I7/$M7)</f>
        <v/>
      </c>
      <c r="M7" s="9" t="n"/>
    </row>
    <row r="8">
      <c r="A8" s="18">
        <f>IF('01-Cadastro-Motos'!$A8="","",'01-Cadastro-Motos'!$A8)</f>
        <v/>
      </c>
      <c r="B8" s="18">
        <f>IF($A8="","",IFERROR(INDEX('01-Cadastro-Motos'!$B$4:$B$123,MATCH($A8,'01-Cadastro-Motos'!$A$4:$A$123,0)),""))</f>
        <v/>
      </c>
      <c r="C8" s="15">
        <f>IF($A8="","",IFERROR(INDEX('01-Cadastro-Motos'!$I$4:$I$123,MATCH($A8,'01-Cadastro-Motos'!$A$4:$A$123,0)),""))</f>
        <v/>
      </c>
      <c r="D8" s="15">
        <f>IF($A8="","",IFERROR(INDEX('02-Custos-Diretos'!$J$4:$J$123,MATCH($A8,'02-Custos-Diretos'!$A$4:$A$123,0)),0))</f>
        <v/>
      </c>
      <c r="E8" s="15">
        <f>IF($A8="","",$C8*'00-Parametros'!$C$13*('00-Parametros'!$C$15/30))</f>
        <v/>
      </c>
      <c r="F8" s="15">
        <f>IF($A8="","",'00-Parametros'!$C$16)</f>
        <v/>
      </c>
      <c r="G8" s="15">
        <f>IF($A8="","",SUM(C8:F8))</f>
        <v/>
      </c>
      <c r="H8" s="21">
        <f>IF($A8="","",$G8/(1-(('00-Parametros'!$C$9+'00-Parametros'!$C$10+'00-Parametros'!$C$11+'00-Parametros'!$C$12)+'00-Parametros'!$C$5)))</f>
        <v/>
      </c>
      <c r="I8" s="21">
        <f>IF($A8="","",$G8/(1-(('00-Parametros'!$C$9+'00-Parametros'!$C$10+'00-Parametros'!$C$11+'00-Parametros'!$C$12)+'00-Parametros'!$C$6)))</f>
        <v/>
      </c>
      <c r="J8" s="21">
        <f>IF($A8="","",$G8/(1-(('00-Parametros'!$C$9+'00-Parametros'!$C$10+'00-Parametros'!$C$11+'00-Parametros'!$C$12)+'00-Parametros'!$C$7)))</f>
        <v/>
      </c>
      <c r="K8" s="21">
        <f>IF($A8="","",$G8/(1-(('00-Parametros'!$C$9+'00-Parametros'!$C$10+'00-Parametros'!$C$11+'00-Parametros'!$C$12)+'00-Parametros'!$C$8)))</f>
        <v/>
      </c>
      <c r="L8" s="19">
        <f>IF(OR($A8="",$M8="",$M8=0),"",$I8/$M8)</f>
        <v/>
      </c>
      <c r="M8" s="9" t="n"/>
    </row>
    <row r="9">
      <c r="A9" s="18">
        <f>IF('01-Cadastro-Motos'!$A9="","",'01-Cadastro-Motos'!$A9)</f>
        <v/>
      </c>
      <c r="B9" s="18">
        <f>IF($A9="","",IFERROR(INDEX('01-Cadastro-Motos'!$B$4:$B$123,MATCH($A9,'01-Cadastro-Motos'!$A$4:$A$123,0)),""))</f>
        <v/>
      </c>
      <c r="C9" s="15">
        <f>IF($A9="","",IFERROR(INDEX('01-Cadastro-Motos'!$I$4:$I$123,MATCH($A9,'01-Cadastro-Motos'!$A$4:$A$123,0)),""))</f>
        <v/>
      </c>
      <c r="D9" s="15">
        <f>IF($A9="","",IFERROR(INDEX('02-Custos-Diretos'!$J$4:$J$123,MATCH($A9,'02-Custos-Diretos'!$A$4:$A$123,0)),0))</f>
        <v/>
      </c>
      <c r="E9" s="15">
        <f>IF($A9="","",$C9*'00-Parametros'!$C$13*('00-Parametros'!$C$15/30))</f>
        <v/>
      </c>
      <c r="F9" s="15">
        <f>IF($A9="","",'00-Parametros'!$C$16)</f>
        <v/>
      </c>
      <c r="G9" s="15">
        <f>IF($A9="","",SUM(C9:F9))</f>
        <v/>
      </c>
      <c r="H9" s="21">
        <f>IF($A9="","",$G9/(1-(('00-Parametros'!$C$9+'00-Parametros'!$C$10+'00-Parametros'!$C$11+'00-Parametros'!$C$12)+'00-Parametros'!$C$5)))</f>
        <v/>
      </c>
      <c r="I9" s="21">
        <f>IF($A9="","",$G9/(1-(('00-Parametros'!$C$9+'00-Parametros'!$C$10+'00-Parametros'!$C$11+'00-Parametros'!$C$12)+'00-Parametros'!$C$6)))</f>
        <v/>
      </c>
      <c r="J9" s="21">
        <f>IF($A9="","",$G9/(1-(('00-Parametros'!$C$9+'00-Parametros'!$C$10+'00-Parametros'!$C$11+'00-Parametros'!$C$12)+'00-Parametros'!$C$7)))</f>
        <v/>
      </c>
      <c r="K9" s="21">
        <f>IF($A9="","",$G9/(1-(('00-Parametros'!$C$9+'00-Parametros'!$C$10+'00-Parametros'!$C$11+'00-Parametros'!$C$12)+'00-Parametros'!$C$8)))</f>
        <v/>
      </c>
      <c r="L9" s="19">
        <f>IF(OR($A9="",$M9="",$M9=0),"",$I9/$M9)</f>
        <v/>
      </c>
      <c r="M9" s="9" t="n"/>
    </row>
    <row r="10">
      <c r="A10" s="18">
        <f>IF('01-Cadastro-Motos'!$A10="","",'01-Cadastro-Motos'!$A10)</f>
        <v/>
      </c>
      <c r="B10" s="18">
        <f>IF($A10="","",IFERROR(INDEX('01-Cadastro-Motos'!$B$4:$B$123,MATCH($A10,'01-Cadastro-Motos'!$A$4:$A$123,0)),""))</f>
        <v/>
      </c>
      <c r="C10" s="15">
        <f>IF($A10="","",IFERROR(INDEX('01-Cadastro-Motos'!$I$4:$I$123,MATCH($A10,'01-Cadastro-Motos'!$A$4:$A$123,0)),""))</f>
        <v/>
      </c>
      <c r="D10" s="15">
        <f>IF($A10="","",IFERROR(INDEX('02-Custos-Diretos'!$J$4:$J$123,MATCH($A10,'02-Custos-Diretos'!$A$4:$A$123,0)),0))</f>
        <v/>
      </c>
      <c r="E10" s="15">
        <f>IF($A10="","",$C10*'00-Parametros'!$C$13*('00-Parametros'!$C$15/30))</f>
        <v/>
      </c>
      <c r="F10" s="15">
        <f>IF($A10="","",'00-Parametros'!$C$16)</f>
        <v/>
      </c>
      <c r="G10" s="15">
        <f>IF($A10="","",SUM(C10:F10))</f>
        <v/>
      </c>
      <c r="H10" s="21">
        <f>IF($A10="","",$G10/(1-(('00-Parametros'!$C$9+'00-Parametros'!$C$10+'00-Parametros'!$C$11+'00-Parametros'!$C$12)+'00-Parametros'!$C$5)))</f>
        <v/>
      </c>
      <c r="I10" s="21">
        <f>IF($A10="","",$G10/(1-(('00-Parametros'!$C$9+'00-Parametros'!$C$10+'00-Parametros'!$C$11+'00-Parametros'!$C$12)+'00-Parametros'!$C$6)))</f>
        <v/>
      </c>
      <c r="J10" s="21">
        <f>IF($A10="","",$G10/(1-(('00-Parametros'!$C$9+'00-Parametros'!$C$10+'00-Parametros'!$C$11+'00-Parametros'!$C$12)+'00-Parametros'!$C$7)))</f>
        <v/>
      </c>
      <c r="K10" s="21">
        <f>IF($A10="","",$G10/(1-(('00-Parametros'!$C$9+'00-Parametros'!$C$10+'00-Parametros'!$C$11+'00-Parametros'!$C$12)+'00-Parametros'!$C$8)))</f>
        <v/>
      </c>
      <c r="L10" s="19">
        <f>IF(OR($A10="",$M10="",$M10=0),"",$I10/$M10)</f>
        <v/>
      </c>
      <c r="M10" s="9" t="n"/>
    </row>
    <row r="11">
      <c r="A11" s="18">
        <f>IF('01-Cadastro-Motos'!$A11="","",'01-Cadastro-Motos'!$A11)</f>
        <v/>
      </c>
      <c r="B11" s="18">
        <f>IF($A11="","",IFERROR(INDEX('01-Cadastro-Motos'!$B$4:$B$123,MATCH($A11,'01-Cadastro-Motos'!$A$4:$A$123,0)),""))</f>
        <v/>
      </c>
      <c r="C11" s="15">
        <f>IF($A11="","",IFERROR(INDEX('01-Cadastro-Motos'!$I$4:$I$123,MATCH($A11,'01-Cadastro-Motos'!$A$4:$A$123,0)),""))</f>
        <v/>
      </c>
      <c r="D11" s="15">
        <f>IF($A11="","",IFERROR(INDEX('02-Custos-Diretos'!$J$4:$J$123,MATCH($A11,'02-Custos-Diretos'!$A$4:$A$123,0)),0))</f>
        <v/>
      </c>
      <c r="E11" s="15">
        <f>IF($A11="","",$C11*'00-Parametros'!$C$13*('00-Parametros'!$C$15/30))</f>
        <v/>
      </c>
      <c r="F11" s="15">
        <f>IF($A11="","",'00-Parametros'!$C$16)</f>
        <v/>
      </c>
      <c r="G11" s="15">
        <f>IF($A11="","",SUM(C11:F11))</f>
        <v/>
      </c>
      <c r="H11" s="21">
        <f>IF($A11="","",$G11/(1-(('00-Parametros'!$C$9+'00-Parametros'!$C$10+'00-Parametros'!$C$11+'00-Parametros'!$C$12)+'00-Parametros'!$C$5)))</f>
        <v/>
      </c>
      <c r="I11" s="21">
        <f>IF($A11="","",$G11/(1-(('00-Parametros'!$C$9+'00-Parametros'!$C$10+'00-Parametros'!$C$11+'00-Parametros'!$C$12)+'00-Parametros'!$C$6)))</f>
        <v/>
      </c>
      <c r="J11" s="21">
        <f>IF($A11="","",$G11/(1-(('00-Parametros'!$C$9+'00-Parametros'!$C$10+'00-Parametros'!$C$11+'00-Parametros'!$C$12)+'00-Parametros'!$C$7)))</f>
        <v/>
      </c>
      <c r="K11" s="21">
        <f>IF($A11="","",$G11/(1-(('00-Parametros'!$C$9+'00-Parametros'!$C$10+'00-Parametros'!$C$11+'00-Parametros'!$C$12)+'00-Parametros'!$C$8)))</f>
        <v/>
      </c>
      <c r="L11" s="19">
        <f>IF(OR($A11="",$M11="",$M11=0),"",$I11/$M11)</f>
        <v/>
      </c>
      <c r="M11" s="9" t="n"/>
    </row>
    <row r="12">
      <c r="A12" s="18">
        <f>IF('01-Cadastro-Motos'!$A12="","",'01-Cadastro-Motos'!$A12)</f>
        <v/>
      </c>
      <c r="B12" s="18">
        <f>IF($A12="","",IFERROR(INDEX('01-Cadastro-Motos'!$B$4:$B$123,MATCH($A12,'01-Cadastro-Motos'!$A$4:$A$123,0)),""))</f>
        <v/>
      </c>
      <c r="C12" s="15">
        <f>IF($A12="","",IFERROR(INDEX('01-Cadastro-Motos'!$I$4:$I$123,MATCH($A12,'01-Cadastro-Motos'!$A$4:$A$123,0)),""))</f>
        <v/>
      </c>
      <c r="D12" s="15">
        <f>IF($A12="","",IFERROR(INDEX('02-Custos-Diretos'!$J$4:$J$123,MATCH($A12,'02-Custos-Diretos'!$A$4:$A$123,0)),0))</f>
        <v/>
      </c>
      <c r="E12" s="15">
        <f>IF($A12="","",$C12*'00-Parametros'!$C$13*('00-Parametros'!$C$15/30))</f>
        <v/>
      </c>
      <c r="F12" s="15">
        <f>IF($A12="","",'00-Parametros'!$C$16)</f>
        <v/>
      </c>
      <c r="G12" s="15">
        <f>IF($A12="","",SUM(C12:F12))</f>
        <v/>
      </c>
      <c r="H12" s="21">
        <f>IF($A12="","",$G12/(1-(('00-Parametros'!$C$9+'00-Parametros'!$C$10+'00-Parametros'!$C$11+'00-Parametros'!$C$12)+'00-Parametros'!$C$5)))</f>
        <v/>
      </c>
      <c r="I12" s="21">
        <f>IF($A12="","",$G12/(1-(('00-Parametros'!$C$9+'00-Parametros'!$C$10+'00-Parametros'!$C$11+'00-Parametros'!$C$12)+'00-Parametros'!$C$6)))</f>
        <v/>
      </c>
      <c r="J12" s="21">
        <f>IF($A12="","",$G12/(1-(('00-Parametros'!$C$9+'00-Parametros'!$C$10+'00-Parametros'!$C$11+'00-Parametros'!$C$12)+'00-Parametros'!$C$7)))</f>
        <v/>
      </c>
      <c r="K12" s="21">
        <f>IF($A12="","",$G12/(1-(('00-Parametros'!$C$9+'00-Parametros'!$C$10+'00-Parametros'!$C$11+'00-Parametros'!$C$12)+'00-Parametros'!$C$8)))</f>
        <v/>
      </c>
      <c r="L12" s="19">
        <f>IF(OR($A12="",$M12="",$M12=0),"",$I12/$M12)</f>
        <v/>
      </c>
      <c r="M12" s="9" t="n"/>
    </row>
    <row r="13">
      <c r="A13" s="18">
        <f>IF('01-Cadastro-Motos'!$A13="","",'01-Cadastro-Motos'!$A13)</f>
        <v/>
      </c>
      <c r="B13" s="18">
        <f>IF($A13="","",IFERROR(INDEX('01-Cadastro-Motos'!$B$4:$B$123,MATCH($A13,'01-Cadastro-Motos'!$A$4:$A$123,0)),""))</f>
        <v/>
      </c>
      <c r="C13" s="15">
        <f>IF($A13="","",IFERROR(INDEX('01-Cadastro-Motos'!$I$4:$I$123,MATCH($A13,'01-Cadastro-Motos'!$A$4:$A$123,0)),""))</f>
        <v/>
      </c>
      <c r="D13" s="15">
        <f>IF($A13="","",IFERROR(INDEX('02-Custos-Diretos'!$J$4:$J$123,MATCH($A13,'02-Custos-Diretos'!$A$4:$A$123,0)),0))</f>
        <v/>
      </c>
      <c r="E13" s="15">
        <f>IF($A13="","",$C13*'00-Parametros'!$C$13*('00-Parametros'!$C$15/30))</f>
        <v/>
      </c>
      <c r="F13" s="15">
        <f>IF($A13="","",'00-Parametros'!$C$16)</f>
        <v/>
      </c>
      <c r="G13" s="15">
        <f>IF($A13="","",SUM(C13:F13))</f>
        <v/>
      </c>
      <c r="H13" s="21">
        <f>IF($A13="","",$G13/(1-(('00-Parametros'!$C$9+'00-Parametros'!$C$10+'00-Parametros'!$C$11+'00-Parametros'!$C$12)+'00-Parametros'!$C$5)))</f>
        <v/>
      </c>
      <c r="I13" s="21">
        <f>IF($A13="","",$G13/(1-(('00-Parametros'!$C$9+'00-Parametros'!$C$10+'00-Parametros'!$C$11+'00-Parametros'!$C$12)+'00-Parametros'!$C$6)))</f>
        <v/>
      </c>
      <c r="J13" s="21">
        <f>IF($A13="","",$G13/(1-(('00-Parametros'!$C$9+'00-Parametros'!$C$10+'00-Parametros'!$C$11+'00-Parametros'!$C$12)+'00-Parametros'!$C$7)))</f>
        <v/>
      </c>
      <c r="K13" s="21">
        <f>IF($A13="","",$G13/(1-(('00-Parametros'!$C$9+'00-Parametros'!$C$10+'00-Parametros'!$C$11+'00-Parametros'!$C$12)+'00-Parametros'!$C$8)))</f>
        <v/>
      </c>
      <c r="L13" s="19">
        <f>IF(OR($A13="",$M13="",$M13=0),"",$I13/$M13)</f>
        <v/>
      </c>
      <c r="M13" s="9" t="n"/>
    </row>
    <row r="14">
      <c r="A14" s="18">
        <f>IF('01-Cadastro-Motos'!$A14="","",'01-Cadastro-Motos'!$A14)</f>
        <v/>
      </c>
      <c r="B14" s="18">
        <f>IF($A14="","",IFERROR(INDEX('01-Cadastro-Motos'!$B$4:$B$123,MATCH($A14,'01-Cadastro-Motos'!$A$4:$A$123,0)),""))</f>
        <v/>
      </c>
      <c r="C14" s="15">
        <f>IF($A14="","",IFERROR(INDEX('01-Cadastro-Motos'!$I$4:$I$123,MATCH($A14,'01-Cadastro-Motos'!$A$4:$A$123,0)),""))</f>
        <v/>
      </c>
      <c r="D14" s="15">
        <f>IF($A14="","",IFERROR(INDEX('02-Custos-Diretos'!$J$4:$J$123,MATCH($A14,'02-Custos-Diretos'!$A$4:$A$123,0)),0))</f>
        <v/>
      </c>
      <c r="E14" s="15">
        <f>IF($A14="","",$C14*'00-Parametros'!$C$13*('00-Parametros'!$C$15/30))</f>
        <v/>
      </c>
      <c r="F14" s="15">
        <f>IF($A14="","",'00-Parametros'!$C$16)</f>
        <v/>
      </c>
      <c r="G14" s="15">
        <f>IF($A14="","",SUM(C14:F14))</f>
        <v/>
      </c>
      <c r="H14" s="21">
        <f>IF($A14="","",$G14/(1-(('00-Parametros'!$C$9+'00-Parametros'!$C$10+'00-Parametros'!$C$11+'00-Parametros'!$C$12)+'00-Parametros'!$C$5)))</f>
        <v/>
      </c>
      <c r="I14" s="21">
        <f>IF($A14="","",$G14/(1-(('00-Parametros'!$C$9+'00-Parametros'!$C$10+'00-Parametros'!$C$11+'00-Parametros'!$C$12)+'00-Parametros'!$C$6)))</f>
        <v/>
      </c>
      <c r="J14" s="21">
        <f>IF($A14="","",$G14/(1-(('00-Parametros'!$C$9+'00-Parametros'!$C$10+'00-Parametros'!$C$11+'00-Parametros'!$C$12)+'00-Parametros'!$C$7)))</f>
        <v/>
      </c>
      <c r="K14" s="21">
        <f>IF($A14="","",$G14/(1-(('00-Parametros'!$C$9+'00-Parametros'!$C$10+'00-Parametros'!$C$11+'00-Parametros'!$C$12)+'00-Parametros'!$C$8)))</f>
        <v/>
      </c>
      <c r="L14" s="19">
        <f>IF(OR($A14="",$M14="",$M14=0),"",$I14/$M14)</f>
        <v/>
      </c>
      <c r="M14" s="9" t="n"/>
    </row>
    <row r="15">
      <c r="A15" s="18">
        <f>IF('01-Cadastro-Motos'!$A15="","",'01-Cadastro-Motos'!$A15)</f>
        <v/>
      </c>
      <c r="B15" s="18">
        <f>IF($A15="","",IFERROR(INDEX('01-Cadastro-Motos'!$B$4:$B$123,MATCH($A15,'01-Cadastro-Motos'!$A$4:$A$123,0)),""))</f>
        <v/>
      </c>
      <c r="C15" s="15">
        <f>IF($A15="","",IFERROR(INDEX('01-Cadastro-Motos'!$I$4:$I$123,MATCH($A15,'01-Cadastro-Motos'!$A$4:$A$123,0)),""))</f>
        <v/>
      </c>
      <c r="D15" s="15">
        <f>IF($A15="","",IFERROR(INDEX('02-Custos-Diretos'!$J$4:$J$123,MATCH($A15,'02-Custos-Diretos'!$A$4:$A$123,0)),0))</f>
        <v/>
      </c>
      <c r="E15" s="15">
        <f>IF($A15="","",$C15*'00-Parametros'!$C$13*('00-Parametros'!$C$15/30))</f>
        <v/>
      </c>
      <c r="F15" s="15">
        <f>IF($A15="","",'00-Parametros'!$C$16)</f>
        <v/>
      </c>
      <c r="G15" s="15">
        <f>IF($A15="","",SUM(C15:F15))</f>
        <v/>
      </c>
      <c r="H15" s="21">
        <f>IF($A15="","",$G15/(1-(('00-Parametros'!$C$9+'00-Parametros'!$C$10+'00-Parametros'!$C$11+'00-Parametros'!$C$12)+'00-Parametros'!$C$5)))</f>
        <v/>
      </c>
      <c r="I15" s="21">
        <f>IF($A15="","",$G15/(1-(('00-Parametros'!$C$9+'00-Parametros'!$C$10+'00-Parametros'!$C$11+'00-Parametros'!$C$12)+'00-Parametros'!$C$6)))</f>
        <v/>
      </c>
      <c r="J15" s="21">
        <f>IF($A15="","",$G15/(1-(('00-Parametros'!$C$9+'00-Parametros'!$C$10+'00-Parametros'!$C$11+'00-Parametros'!$C$12)+'00-Parametros'!$C$7)))</f>
        <v/>
      </c>
      <c r="K15" s="21">
        <f>IF($A15="","",$G15/(1-(('00-Parametros'!$C$9+'00-Parametros'!$C$10+'00-Parametros'!$C$11+'00-Parametros'!$C$12)+'00-Parametros'!$C$8)))</f>
        <v/>
      </c>
      <c r="L15" s="19">
        <f>IF(OR($A15="",$M15="",$M15=0),"",$I15/$M15)</f>
        <v/>
      </c>
      <c r="M15" s="9" t="n"/>
    </row>
    <row r="16">
      <c r="A16" s="18">
        <f>IF('01-Cadastro-Motos'!$A16="","",'01-Cadastro-Motos'!$A16)</f>
        <v/>
      </c>
      <c r="B16" s="18">
        <f>IF($A16="","",IFERROR(INDEX('01-Cadastro-Motos'!$B$4:$B$123,MATCH($A16,'01-Cadastro-Motos'!$A$4:$A$123,0)),""))</f>
        <v/>
      </c>
      <c r="C16" s="15">
        <f>IF($A16="","",IFERROR(INDEX('01-Cadastro-Motos'!$I$4:$I$123,MATCH($A16,'01-Cadastro-Motos'!$A$4:$A$123,0)),""))</f>
        <v/>
      </c>
      <c r="D16" s="15">
        <f>IF($A16="","",IFERROR(INDEX('02-Custos-Diretos'!$J$4:$J$123,MATCH($A16,'02-Custos-Diretos'!$A$4:$A$123,0)),0))</f>
        <v/>
      </c>
      <c r="E16" s="15">
        <f>IF($A16="","",$C16*'00-Parametros'!$C$13*('00-Parametros'!$C$15/30))</f>
        <v/>
      </c>
      <c r="F16" s="15">
        <f>IF($A16="","",'00-Parametros'!$C$16)</f>
        <v/>
      </c>
      <c r="G16" s="15">
        <f>IF($A16="","",SUM(C16:F16))</f>
        <v/>
      </c>
      <c r="H16" s="21">
        <f>IF($A16="","",$G16/(1-(('00-Parametros'!$C$9+'00-Parametros'!$C$10+'00-Parametros'!$C$11+'00-Parametros'!$C$12)+'00-Parametros'!$C$5)))</f>
        <v/>
      </c>
      <c r="I16" s="21">
        <f>IF($A16="","",$G16/(1-(('00-Parametros'!$C$9+'00-Parametros'!$C$10+'00-Parametros'!$C$11+'00-Parametros'!$C$12)+'00-Parametros'!$C$6)))</f>
        <v/>
      </c>
      <c r="J16" s="21">
        <f>IF($A16="","",$G16/(1-(('00-Parametros'!$C$9+'00-Parametros'!$C$10+'00-Parametros'!$C$11+'00-Parametros'!$C$12)+'00-Parametros'!$C$7)))</f>
        <v/>
      </c>
      <c r="K16" s="21">
        <f>IF($A16="","",$G16/(1-(('00-Parametros'!$C$9+'00-Parametros'!$C$10+'00-Parametros'!$C$11+'00-Parametros'!$C$12)+'00-Parametros'!$C$8)))</f>
        <v/>
      </c>
      <c r="L16" s="19">
        <f>IF(OR($A16="",$M16="",$M16=0),"",$I16/$M16)</f>
        <v/>
      </c>
      <c r="M16" s="9" t="n"/>
    </row>
    <row r="17">
      <c r="A17" s="18">
        <f>IF('01-Cadastro-Motos'!$A17="","",'01-Cadastro-Motos'!$A17)</f>
        <v/>
      </c>
      <c r="B17" s="18">
        <f>IF($A17="","",IFERROR(INDEX('01-Cadastro-Motos'!$B$4:$B$123,MATCH($A17,'01-Cadastro-Motos'!$A$4:$A$123,0)),""))</f>
        <v/>
      </c>
      <c r="C17" s="15">
        <f>IF($A17="","",IFERROR(INDEX('01-Cadastro-Motos'!$I$4:$I$123,MATCH($A17,'01-Cadastro-Motos'!$A$4:$A$123,0)),""))</f>
        <v/>
      </c>
      <c r="D17" s="15">
        <f>IF($A17="","",IFERROR(INDEX('02-Custos-Diretos'!$J$4:$J$123,MATCH($A17,'02-Custos-Diretos'!$A$4:$A$123,0)),0))</f>
        <v/>
      </c>
      <c r="E17" s="15">
        <f>IF($A17="","",$C17*'00-Parametros'!$C$13*('00-Parametros'!$C$15/30))</f>
        <v/>
      </c>
      <c r="F17" s="15">
        <f>IF($A17="","",'00-Parametros'!$C$16)</f>
        <v/>
      </c>
      <c r="G17" s="15">
        <f>IF($A17="","",SUM(C17:F17))</f>
        <v/>
      </c>
      <c r="H17" s="21">
        <f>IF($A17="","",$G17/(1-(('00-Parametros'!$C$9+'00-Parametros'!$C$10+'00-Parametros'!$C$11+'00-Parametros'!$C$12)+'00-Parametros'!$C$5)))</f>
        <v/>
      </c>
      <c r="I17" s="21">
        <f>IF($A17="","",$G17/(1-(('00-Parametros'!$C$9+'00-Parametros'!$C$10+'00-Parametros'!$C$11+'00-Parametros'!$C$12)+'00-Parametros'!$C$6)))</f>
        <v/>
      </c>
      <c r="J17" s="21">
        <f>IF($A17="","",$G17/(1-(('00-Parametros'!$C$9+'00-Parametros'!$C$10+'00-Parametros'!$C$11+'00-Parametros'!$C$12)+'00-Parametros'!$C$7)))</f>
        <v/>
      </c>
      <c r="K17" s="21">
        <f>IF($A17="","",$G17/(1-(('00-Parametros'!$C$9+'00-Parametros'!$C$10+'00-Parametros'!$C$11+'00-Parametros'!$C$12)+'00-Parametros'!$C$8)))</f>
        <v/>
      </c>
      <c r="L17" s="19">
        <f>IF(OR($A17="",$M17="",$M17=0),"",$I17/$M17)</f>
        <v/>
      </c>
      <c r="M17" s="9" t="n"/>
    </row>
    <row r="18">
      <c r="A18" s="18">
        <f>IF('01-Cadastro-Motos'!$A18="","",'01-Cadastro-Motos'!$A18)</f>
        <v/>
      </c>
      <c r="B18" s="18">
        <f>IF($A18="","",IFERROR(INDEX('01-Cadastro-Motos'!$B$4:$B$123,MATCH($A18,'01-Cadastro-Motos'!$A$4:$A$123,0)),""))</f>
        <v/>
      </c>
      <c r="C18" s="15">
        <f>IF($A18="","",IFERROR(INDEX('01-Cadastro-Motos'!$I$4:$I$123,MATCH($A18,'01-Cadastro-Motos'!$A$4:$A$123,0)),""))</f>
        <v/>
      </c>
      <c r="D18" s="15">
        <f>IF($A18="","",IFERROR(INDEX('02-Custos-Diretos'!$J$4:$J$123,MATCH($A18,'02-Custos-Diretos'!$A$4:$A$123,0)),0))</f>
        <v/>
      </c>
      <c r="E18" s="15">
        <f>IF($A18="","",$C18*'00-Parametros'!$C$13*('00-Parametros'!$C$15/30))</f>
        <v/>
      </c>
      <c r="F18" s="15">
        <f>IF($A18="","",'00-Parametros'!$C$16)</f>
        <v/>
      </c>
      <c r="G18" s="15">
        <f>IF($A18="","",SUM(C18:F18))</f>
        <v/>
      </c>
      <c r="H18" s="21">
        <f>IF($A18="","",$G18/(1-(('00-Parametros'!$C$9+'00-Parametros'!$C$10+'00-Parametros'!$C$11+'00-Parametros'!$C$12)+'00-Parametros'!$C$5)))</f>
        <v/>
      </c>
      <c r="I18" s="21">
        <f>IF($A18="","",$G18/(1-(('00-Parametros'!$C$9+'00-Parametros'!$C$10+'00-Parametros'!$C$11+'00-Parametros'!$C$12)+'00-Parametros'!$C$6)))</f>
        <v/>
      </c>
      <c r="J18" s="21">
        <f>IF($A18="","",$G18/(1-(('00-Parametros'!$C$9+'00-Parametros'!$C$10+'00-Parametros'!$C$11+'00-Parametros'!$C$12)+'00-Parametros'!$C$7)))</f>
        <v/>
      </c>
      <c r="K18" s="21">
        <f>IF($A18="","",$G18/(1-(('00-Parametros'!$C$9+'00-Parametros'!$C$10+'00-Parametros'!$C$11+'00-Parametros'!$C$12)+'00-Parametros'!$C$8)))</f>
        <v/>
      </c>
      <c r="L18" s="19">
        <f>IF(OR($A18="",$M18="",$M18=0),"",$I18/$M18)</f>
        <v/>
      </c>
      <c r="M18" s="9" t="n"/>
    </row>
    <row r="19">
      <c r="A19" s="18">
        <f>IF('01-Cadastro-Motos'!$A19="","",'01-Cadastro-Motos'!$A19)</f>
        <v/>
      </c>
      <c r="B19" s="18">
        <f>IF($A19="","",IFERROR(INDEX('01-Cadastro-Motos'!$B$4:$B$123,MATCH($A19,'01-Cadastro-Motos'!$A$4:$A$123,0)),""))</f>
        <v/>
      </c>
      <c r="C19" s="15">
        <f>IF($A19="","",IFERROR(INDEX('01-Cadastro-Motos'!$I$4:$I$123,MATCH($A19,'01-Cadastro-Motos'!$A$4:$A$123,0)),""))</f>
        <v/>
      </c>
      <c r="D19" s="15">
        <f>IF($A19="","",IFERROR(INDEX('02-Custos-Diretos'!$J$4:$J$123,MATCH($A19,'02-Custos-Diretos'!$A$4:$A$123,0)),0))</f>
        <v/>
      </c>
      <c r="E19" s="15">
        <f>IF($A19="","",$C19*'00-Parametros'!$C$13*('00-Parametros'!$C$15/30))</f>
        <v/>
      </c>
      <c r="F19" s="15">
        <f>IF($A19="","",'00-Parametros'!$C$16)</f>
        <v/>
      </c>
      <c r="G19" s="15">
        <f>IF($A19="","",SUM(C19:F19))</f>
        <v/>
      </c>
      <c r="H19" s="21">
        <f>IF($A19="","",$G19/(1-(('00-Parametros'!$C$9+'00-Parametros'!$C$10+'00-Parametros'!$C$11+'00-Parametros'!$C$12)+'00-Parametros'!$C$5)))</f>
        <v/>
      </c>
      <c r="I19" s="21">
        <f>IF($A19="","",$G19/(1-(('00-Parametros'!$C$9+'00-Parametros'!$C$10+'00-Parametros'!$C$11+'00-Parametros'!$C$12)+'00-Parametros'!$C$6)))</f>
        <v/>
      </c>
      <c r="J19" s="21">
        <f>IF($A19="","",$G19/(1-(('00-Parametros'!$C$9+'00-Parametros'!$C$10+'00-Parametros'!$C$11+'00-Parametros'!$C$12)+'00-Parametros'!$C$7)))</f>
        <v/>
      </c>
      <c r="K19" s="21">
        <f>IF($A19="","",$G19/(1-(('00-Parametros'!$C$9+'00-Parametros'!$C$10+'00-Parametros'!$C$11+'00-Parametros'!$C$12)+'00-Parametros'!$C$8)))</f>
        <v/>
      </c>
      <c r="L19" s="19">
        <f>IF(OR($A19="",$M19="",$M19=0),"",$I19/$M19)</f>
        <v/>
      </c>
      <c r="M19" s="9" t="n"/>
    </row>
    <row r="20">
      <c r="A20" s="18">
        <f>IF('01-Cadastro-Motos'!$A20="","",'01-Cadastro-Motos'!$A20)</f>
        <v/>
      </c>
      <c r="B20" s="18">
        <f>IF($A20="","",IFERROR(INDEX('01-Cadastro-Motos'!$B$4:$B$123,MATCH($A20,'01-Cadastro-Motos'!$A$4:$A$123,0)),""))</f>
        <v/>
      </c>
      <c r="C20" s="15">
        <f>IF($A20="","",IFERROR(INDEX('01-Cadastro-Motos'!$I$4:$I$123,MATCH($A20,'01-Cadastro-Motos'!$A$4:$A$123,0)),""))</f>
        <v/>
      </c>
      <c r="D20" s="15">
        <f>IF($A20="","",IFERROR(INDEX('02-Custos-Diretos'!$J$4:$J$123,MATCH($A20,'02-Custos-Diretos'!$A$4:$A$123,0)),0))</f>
        <v/>
      </c>
      <c r="E20" s="15">
        <f>IF($A20="","",$C20*'00-Parametros'!$C$13*('00-Parametros'!$C$15/30))</f>
        <v/>
      </c>
      <c r="F20" s="15">
        <f>IF($A20="","",'00-Parametros'!$C$16)</f>
        <v/>
      </c>
      <c r="G20" s="15">
        <f>IF($A20="","",SUM(C20:F20))</f>
        <v/>
      </c>
      <c r="H20" s="21">
        <f>IF($A20="","",$G20/(1-(('00-Parametros'!$C$9+'00-Parametros'!$C$10+'00-Parametros'!$C$11+'00-Parametros'!$C$12)+'00-Parametros'!$C$5)))</f>
        <v/>
      </c>
      <c r="I20" s="21">
        <f>IF($A20="","",$G20/(1-(('00-Parametros'!$C$9+'00-Parametros'!$C$10+'00-Parametros'!$C$11+'00-Parametros'!$C$12)+'00-Parametros'!$C$6)))</f>
        <v/>
      </c>
      <c r="J20" s="21">
        <f>IF($A20="","",$G20/(1-(('00-Parametros'!$C$9+'00-Parametros'!$C$10+'00-Parametros'!$C$11+'00-Parametros'!$C$12)+'00-Parametros'!$C$7)))</f>
        <v/>
      </c>
      <c r="K20" s="21">
        <f>IF($A20="","",$G20/(1-(('00-Parametros'!$C$9+'00-Parametros'!$C$10+'00-Parametros'!$C$11+'00-Parametros'!$C$12)+'00-Parametros'!$C$8)))</f>
        <v/>
      </c>
      <c r="L20" s="19">
        <f>IF(OR($A20="",$M20="",$M20=0),"",$I20/$M20)</f>
        <v/>
      </c>
      <c r="M20" s="9" t="n"/>
    </row>
    <row r="21">
      <c r="A21" s="18">
        <f>IF('01-Cadastro-Motos'!$A21="","",'01-Cadastro-Motos'!$A21)</f>
        <v/>
      </c>
      <c r="B21" s="18">
        <f>IF($A21="","",IFERROR(INDEX('01-Cadastro-Motos'!$B$4:$B$123,MATCH($A21,'01-Cadastro-Motos'!$A$4:$A$123,0)),""))</f>
        <v/>
      </c>
      <c r="C21" s="15">
        <f>IF($A21="","",IFERROR(INDEX('01-Cadastro-Motos'!$I$4:$I$123,MATCH($A21,'01-Cadastro-Motos'!$A$4:$A$123,0)),""))</f>
        <v/>
      </c>
      <c r="D21" s="15">
        <f>IF($A21="","",IFERROR(INDEX('02-Custos-Diretos'!$J$4:$J$123,MATCH($A21,'02-Custos-Diretos'!$A$4:$A$123,0)),0))</f>
        <v/>
      </c>
      <c r="E21" s="15">
        <f>IF($A21="","",$C21*'00-Parametros'!$C$13*('00-Parametros'!$C$15/30))</f>
        <v/>
      </c>
      <c r="F21" s="15">
        <f>IF($A21="","",'00-Parametros'!$C$16)</f>
        <v/>
      </c>
      <c r="G21" s="15">
        <f>IF($A21="","",SUM(C21:F21))</f>
        <v/>
      </c>
      <c r="H21" s="21">
        <f>IF($A21="","",$G21/(1-(('00-Parametros'!$C$9+'00-Parametros'!$C$10+'00-Parametros'!$C$11+'00-Parametros'!$C$12)+'00-Parametros'!$C$5)))</f>
        <v/>
      </c>
      <c r="I21" s="21">
        <f>IF($A21="","",$G21/(1-(('00-Parametros'!$C$9+'00-Parametros'!$C$10+'00-Parametros'!$C$11+'00-Parametros'!$C$12)+'00-Parametros'!$C$6)))</f>
        <v/>
      </c>
      <c r="J21" s="21">
        <f>IF($A21="","",$G21/(1-(('00-Parametros'!$C$9+'00-Parametros'!$C$10+'00-Parametros'!$C$11+'00-Parametros'!$C$12)+'00-Parametros'!$C$7)))</f>
        <v/>
      </c>
      <c r="K21" s="21">
        <f>IF($A21="","",$G21/(1-(('00-Parametros'!$C$9+'00-Parametros'!$C$10+'00-Parametros'!$C$11+'00-Parametros'!$C$12)+'00-Parametros'!$C$8)))</f>
        <v/>
      </c>
      <c r="L21" s="19">
        <f>IF(OR($A21="",$M21="",$M21=0),"",$I21/$M21)</f>
        <v/>
      </c>
      <c r="M21" s="9" t="n"/>
    </row>
    <row r="22">
      <c r="A22" s="18">
        <f>IF('01-Cadastro-Motos'!$A22="","",'01-Cadastro-Motos'!$A22)</f>
        <v/>
      </c>
      <c r="B22" s="18">
        <f>IF($A22="","",IFERROR(INDEX('01-Cadastro-Motos'!$B$4:$B$123,MATCH($A22,'01-Cadastro-Motos'!$A$4:$A$123,0)),""))</f>
        <v/>
      </c>
      <c r="C22" s="15">
        <f>IF($A22="","",IFERROR(INDEX('01-Cadastro-Motos'!$I$4:$I$123,MATCH($A22,'01-Cadastro-Motos'!$A$4:$A$123,0)),""))</f>
        <v/>
      </c>
      <c r="D22" s="15">
        <f>IF($A22="","",IFERROR(INDEX('02-Custos-Diretos'!$J$4:$J$123,MATCH($A22,'02-Custos-Diretos'!$A$4:$A$123,0)),0))</f>
        <v/>
      </c>
      <c r="E22" s="15">
        <f>IF($A22="","",$C22*'00-Parametros'!$C$13*('00-Parametros'!$C$15/30))</f>
        <v/>
      </c>
      <c r="F22" s="15">
        <f>IF($A22="","",'00-Parametros'!$C$16)</f>
        <v/>
      </c>
      <c r="G22" s="15">
        <f>IF($A22="","",SUM(C22:F22))</f>
        <v/>
      </c>
      <c r="H22" s="21">
        <f>IF($A22="","",$G22/(1-(('00-Parametros'!$C$9+'00-Parametros'!$C$10+'00-Parametros'!$C$11+'00-Parametros'!$C$12)+'00-Parametros'!$C$5)))</f>
        <v/>
      </c>
      <c r="I22" s="21">
        <f>IF($A22="","",$G22/(1-(('00-Parametros'!$C$9+'00-Parametros'!$C$10+'00-Parametros'!$C$11+'00-Parametros'!$C$12)+'00-Parametros'!$C$6)))</f>
        <v/>
      </c>
      <c r="J22" s="21">
        <f>IF($A22="","",$G22/(1-(('00-Parametros'!$C$9+'00-Parametros'!$C$10+'00-Parametros'!$C$11+'00-Parametros'!$C$12)+'00-Parametros'!$C$7)))</f>
        <v/>
      </c>
      <c r="K22" s="21">
        <f>IF($A22="","",$G22/(1-(('00-Parametros'!$C$9+'00-Parametros'!$C$10+'00-Parametros'!$C$11+'00-Parametros'!$C$12)+'00-Parametros'!$C$8)))</f>
        <v/>
      </c>
      <c r="L22" s="19">
        <f>IF(OR($A22="",$M22="",$M22=0),"",$I22/$M22)</f>
        <v/>
      </c>
      <c r="M22" s="9" t="n"/>
    </row>
    <row r="23">
      <c r="A23" s="18">
        <f>IF('01-Cadastro-Motos'!$A23="","",'01-Cadastro-Motos'!$A23)</f>
        <v/>
      </c>
      <c r="B23" s="18">
        <f>IF($A23="","",IFERROR(INDEX('01-Cadastro-Motos'!$B$4:$B$123,MATCH($A23,'01-Cadastro-Motos'!$A$4:$A$123,0)),""))</f>
        <v/>
      </c>
      <c r="C23" s="15">
        <f>IF($A23="","",IFERROR(INDEX('01-Cadastro-Motos'!$I$4:$I$123,MATCH($A23,'01-Cadastro-Motos'!$A$4:$A$123,0)),""))</f>
        <v/>
      </c>
      <c r="D23" s="15">
        <f>IF($A23="","",IFERROR(INDEX('02-Custos-Diretos'!$J$4:$J$123,MATCH($A23,'02-Custos-Diretos'!$A$4:$A$123,0)),0))</f>
        <v/>
      </c>
      <c r="E23" s="15">
        <f>IF($A23="","",$C23*'00-Parametros'!$C$13*('00-Parametros'!$C$15/30))</f>
        <v/>
      </c>
      <c r="F23" s="15">
        <f>IF($A23="","",'00-Parametros'!$C$16)</f>
        <v/>
      </c>
      <c r="G23" s="15">
        <f>IF($A23="","",SUM(C23:F23))</f>
        <v/>
      </c>
      <c r="H23" s="21">
        <f>IF($A23="","",$G23/(1-(('00-Parametros'!$C$9+'00-Parametros'!$C$10+'00-Parametros'!$C$11+'00-Parametros'!$C$12)+'00-Parametros'!$C$5)))</f>
        <v/>
      </c>
      <c r="I23" s="21">
        <f>IF($A23="","",$G23/(1-(('00-Parametros'!$C$9+'00-Parametros'!$C$10+'00-Parametros'!$C$11+'00-Parametros'!$C$12)+'00-Parametros'!$C$6)))</f>
        <v/>
      </c>
      <c r="J23" s="21">
        <f>IF($A23="","",$G23/(1-(('00-Parametros'!$C$9+'00-Parametros'!$C$10+'00-Parametros'!$C$11+'00-Parametros'!$C$12)+'00-Parametros'!$C$7)))</f>
        <v/>
      </c>
      <c r="K23" s="21">
        <f>IF($A23="","",$G23/(1-(('00-Parametros'!$C$9+'00-Parametros'!$C$10+'00-Parametros'!$C$11+'00-Parametros'!$C$12)+'00-Parametros'!$C$8)))</f>
        <v/>
      </c>
      <c r="L23" s="19">
        <f>IF(OR($A23="",$M23="",$M23=0),"",$I23/$M23)</f>
        <v/>
      </c>
      <c r="M23" s="9" t="n"/>
    </row>
    <row r="24">
      <c r="A24" s="18">
        <f>IF('01-Cadastro-Motos'!$A24="","",'01-Cadastro-Motos'!$A24)</f>
        <v/>
      </c>
      <c r="B24" s="18">
        <f>IF($A24="","",IFERROR(INDEX('01-Cadastro-Motos'!$B$4:$B$123,MATCH($A24,'01-Cadastro-Motos'!$A$4:$A$123,0)),""))</f>
        <v/>
      </c>
      <c r="C24" s="15">
        <f>IF($A24="","",IFERROR(INDEX('01-Cadastro-Motos'!$I$4:$I$123,MATCH($A24,'01-Cadastro-Motos'!$A$4:$A$123,0)),""))</f>
        <v/>
      </c>
      <c r="D24" s="15">
        <f>IF($A24="","",IFERROR(INDEX('02-Custos-Diretos'!$J$4:$J$123,MATCH($A24,'02-Custos-Diretos'!$A$4:$A$123,0)),0))</f>
        <v/>
      </c>
      <c r="E24" s="15">
        <f>IF($A24="","",$C24*'00-Parametros'!$C$13*('00-Parametros'!$C$15/30))</f>
        <v/>
      </c>
      <c r="F24" s="15">
        <f>IF($A24="","",'00-Parametros'!$C$16)</f>
        <v/>
      </c>
      <c r="G24" s="15">
        <f>IF($A24="","",SUM(C24:F24))</f>
        <v/>
      </c>
      <c r="H24" s="21">
        <f>IF($A24="","",$G24/(1-(('00-Parametros'!$C$9+'00-Parametros'!$C$10+'00-Parametros'!$C$11+'00-Parametros'!$C$12)+'00-Parametros'!$C$5)))</f>
        <v/>
      </c>
      <c r="I24" s="21">
        <f>IF($A24="","",$G24/(1-(('00-Parametros'!$C$9+'00-Parametros'!$C$10+'00-Parametros'!$C$11+'00-Parametros'!$C$12)+'00-Parametros'!$C$6)))</f>
        <v/>
      </c>
      <c r="J24" s="21">
        <f>IF($A24="","",$G24/(1-(('00-Parametros'!$C$9+'00-Parametros'!$C$10+'00-Parametros'!$C$11+'00-Parametros'!$C$12)+'00-Parametros'!$C$7)))</f>
        <v/>
      </c>
      <c r="K24" s="21">
        <f>IF($A24="","",$G24/(1-(('00-Parametros'!$C$9+'00-Parametros'!$C$10+'00-Parametros'!$C$11+'00-Parametros'!$C$12)+'00-Parametros'!$C$8)))</f>
        <v/>
      </c>
      <c r="L24" s="19">
        <f>IF(OR($A24="",$M24="",$M24=0),"",$I24/$M24)</f>
        <v/>
      </c>
      <c r="M24" s="9" t="n"/>
    </row>
    <row r="25">
      <c r="A25" s="18">
        <f>IF('01-Cadastro-Motos'!$A25="","",'01-Cadastro-Motos'!$A25)</f>
        <v/>
      </c>
      <c r="B25" s="18">
        <f>IF($A25="","",IFERROR(INDEX('01-Cadastro-Motos'!$B$4:$B$123,MATCH($A25,'01-Cadastro-Motos'!$A$4:$A$123,0)),""))</f>
        <v/>
      </c>
      <c r="C25" s="15">
        <f>IF($A25="","",IFERROR(INDEX('01-Cadastro-Motos'!$I$4:$I$123,MATCH($A25,'01-Cadastro-Motos'!$A$4:$A$123,0)),""))</f>
        <v/>
      </c>
      <c r="D25" s="15">
        <f>IF($A25="","",IFERROR(INDEX('02-Custos-Diretos'!$J$4:$J$123,MATCH($A25,'02-Custos-Diretos'!$A$4:$A$123,0)),0))</f>
        <v/>
      </c>
      <c r="E25" s="15">
        <f>IF($A25="","",$C25*'00-Parametros'!$C$13*('00-Parametros'!$C$15/30))</f>
        <v/>
      </c>
      <c r="F25" s="15">
        <f>IF($A25="","",'00-Parametros'!$C$16)</f>
        <v/>
      </c>
      <c r="G25" s="15">
        <f>IF($A25="","",SUM(C25:F25))</f>
        <v/>
      </c>
      <c r="H25" s="21">
        <f>IF($A25="","",$G25/(1-(('00-Parametros'!$C$9+'00-Parametros'!$C$10+'00-Parametros'!$C$11+'00-Parametros'!$C$12)+'00-Parametros'!$C$5)))</f>
        <v/>
      </c>
      <c r="I25" s="21">
        <f>IF($A25="","",$G25/(1-(('00-Parametros'!$C$9+'00-Parametros'!$C$10+'00-Parametros'!$C$11+'00-Parametros'!$C$12)+'00-Parametros'!$C$6)))</f>
        <v/>
      </c>
      <c r="J25" s="21">
        <f>IF($A25="","",$G25/(1-(('00-Parametros'!$C$9+'00-Parametros'!$C$10+'00-Parametros'!$C$11+'00-Parametros'!$C$12)+'00-Parametros'!$C$7)))</f>
        <v/>
      </c>
      <c r="K25" s="21">
        <f>IF($A25="","",$G25/(1-(('00-Parametros'!$C$9+'00-Parametros'!$C$10+'00-Parametros'!$C$11+'00-Parametros'!$C$12)+'00-Parametros'!$C$8)))</f>
        <v/>
      </c>
      <c r="L25" s="19">
        <f>IF(OR($A25="",$M25="",$M25=0),"",$I25/$M25)</f>
        <v/>
      </c>
      <c r="M25" s="9" t="n"/>
    </row>
    <row r="26">
      <c r="A26" s="18">
        <f>IF('01-Cadastro-Motos'!$A26="","",'01-Cadastro-Motos'!$A26)</f>
        <v/>
      </c>
      <c r="B26" s="18">
        <f>IF($A26="","",IFERROR(INDEX('01-Cadastro-Motos'!$B$4:$B$123,MATCH($A26,'01-Cadastro-Motos'!$A$4:$A$123,0)),""))</f>
        <v/>
      </c>
      <c r="C26" s="15">
        <f>IF($A26="","",IFERROR(INDEX('01-Cadastro-Motos'!$I$4:$I$123,MATCH($A26,'01-Cadastro-Motos'!$A$4:$A$123,0)),""))</f>
        <v/>
      </c>
      <c r="D26" s="15">
        <f>IF($A26="","",IFERROR(INDEX('02-Custos-Diretos'!$J$4:$J$123,MATCH($A26,'02-Custos-Diretos'!$A$4:$A$123,0)),0))</f>
        <v/>
      </c>
      <c r="E26" s="15">
        <f>IF($A26="","",$C26*'00-Parametros'!$C$13*('00-Parametros'!$C$15/30))</f>
        <v/>
      </c>
      <c r="F26" s="15">
        <f>IF($A26="","",'00-Parametros'!$C$16)</f>
        <v/>
      </c>
      <c r="G26" s="15">
        <f>IF($A26="","",SUM(C26:F26))</f>
        <v/>
      </c>
      <c r="H26" s="21">
        <f>IF($A26="","",$G26/(1-(('00-Parametros'!$C$9+'00-Parametros'!$C$10+'00-Parametros'!$C$11+'00-Parametros'!$C$12)+'00-Parametros'!$C$5)))</f>
        <v/>
      </c>
      <c r="I26" s="21">
        <f>IF($A26="","",$G26/(1-(('00-Parametros'!$C$9+'00-Parametros'!$C$10+'00-Parametros'!$C$11+'00-Parametros'!$C$12)+'00-Parametros'!$C$6)))</f>
        <v/>
      </c>
      <c r="J26" s="21">
        <f>IF($A26="","",$G26/(1-(('00-Parametros'!$C$9+'00-Parametros'!$C$10+'00-Parametros'!$C$11+'00-Parametros'!$C$12)+'00-Parametros'!$C$7)))</f>
        <v/>
      </c>
      <c r="K26" s="21">
        <f>IF($A26="","",$G26/(1-(('00-Parametros'!$C$9+'00-Parametros'!$C$10+'00-Parametros'!$C$11+'00-Parametros'!$C$12)+'00-Parametros'!$C$8)))</f>
        <v/>
      </c>
      <c r="L26" s="19">
        <f>IF(OR($A26="",$M26="",$M26=0),"",$I26/$M26)</f>
        <v/>
      </c>
      <c r="M26" s="9" t="n"/>
    </row>
    <row r="27">
      <c r="A27" s="18">
        <f>IF('01-Cadastro-Motos'!$A27="","",'01-Cadastro-Motos'!$A27)</f>
        <v/>
      </c>
      <c r="B27" s="18">
        <f>IF($A27="","",IFERROR(INDEX('01-Cadastro-Motos'!$B$4:$B$123,MATCH($A27,'01-Cadastro-Motos'!$A$4:$A$123,0)),""))</f>
        <v/>
      </c>
      <c r="C27" s="15">
        <f>IF($A27="","",IFERROR(INDEX('01-Cadastro-Motos'!$I$4:$I$123,MATCH($A27,'01-Cadastro-Motos'!$A$4:$A$123,0)),""))</f>
        <v/>
      </c>
      <c r="D27" s="15">
        <f>IF($A27="","",IFERROR(INDEX('02-Custos-Diretos'!$J$4:$J$123,MATCH($A27,'02-Custos-Diretos'!$A$4:$A$123,0)),0))</f>
        <v/>
      </c>
      <c r="E27" s="15">
        <f>IF($A27="","",$C27*'00-Parametros'!$C$13*('00-Parametros'!$C$15/30))</f>
        <v/>
      </c>
      <c r="F27" s="15">
        <f>IF($A27="","",'00-Parametros'!$C$16)</f>
        <v/>
      </c>
      <c r="G27" s="15">
        <f>IF($A27="","",SUM(C27:F27))</f>
        <v/>
      </c>
      <c r="H27" s="21">
        <f>IF($A27="","",$G27/(1-(('00-Parametros'!$C$9+'00-Parametros'!$C$10+'00-Parametros'!$C$11+'00-Parametros'!$C$12)+'00-Parametros'!$C$5)))</f>
        <v/>
      </c>
      <c r="I27" s="21">
        <f>IF($A27="","",$G27/(1-(('00-Parametros'!$C$9+'00-Parametros'!$C$10+'00-Parametros'!$C$11+'00-Parametros'!$C$12)+'00-Parametros'!$C$6)))</f>
        <v/>
      </c>
      <c r="J27" s="21">
        <f>IF($A27="","",$G27/(1-(('00-Parametros'!$C$9+'00-Parametros'!$C$10+'00-Parametros'!$C$11+'00-Parametros'!$C$12)+'00-Parametros'!$C$7)))</f>
        <v/>
      </c>
      <c r="K27" s="21">
        <f>IF($A27="","",$G27/(1-(('00-Parametros'!$C$9+'00-Parametros'!$C$10+'00-Parametros'!$C$11+'00-Parametros'!$C$12)+'00-Parametros'!$C$8)))</f>
        <v/>
      </c>
      <c r="L27" s="19">
        <f>IF(OR($A27="",$M27="",$M27=0),"",$I27/$M27)</f>
        <v/>
      </c>
      <c r="M27" s="9" t="n"/>
    </row>
    <row r="28">
      <c r="A28" s="18">
        <f>IF('01-Cadastro-Motos'!$A28="","",'01-Cadastro-Motos'!$A28)</f>
        <v/>
      </c>
      <c r="B28" s="18">
        <f>IF($A28="","",IFERROR(INDEX('01-Cadastro-Motos'!$B$4:$B$123,MATCH($A28,'01-Cadastro-Motos'!$A$4:$A$123,0)),""))</f>
        <v/>
      </c>
      <c r="C28" s="15">
        <f>IF($A28="","",IFERROR(INDEX('01-Cadastro-Motos'!$I$4:$I$123,MATCH($A28,'01-Cadastro-Motos'!$A$4:$A$123,0)),""))</f>
        <v/>
      </c>
      <c r="D28" s="15">
        <f>IF($A28="","",IFERROR(INDEX('02-Custos-Diretos'!$J$4:$J$123,MATCH($A28,'02-Custos-Diretos'!$A$4:$A$123,0)),0))</f>
        <v/>
      </c>
      <c r="E28" s="15">
        <f>IF($A28="","",$C28*'00-Parametros'!$C$13*('00-Parametros'!$C$15/30))</f>
        <v/>
      </c>
      <c r="F28" s="15">
        <f>IF($A28="","",'00-Parametros'!$C$16)</f>
        <v/>
      </c>
      <c r="G28" s="15">
        <f>IF($A28="","",SUM(C28:F28))</f>
        <v/>
      </c>
      <c r="H28" s="21">
        <f>IF($A28="","",$G28/(1-(('00-Parametros'!$C$9+'00-Parametros'!$C$10+'00-Parametros'!$C$11+'00-Parametros'!$C$12)+'00-Parametros'!$C$5)))</f>
        <v/>
      </c>
      <c r="I28" s="21">
        <f>IF($A28="","",$G28/(1-(('00-Parametros'!$C$9+'00-Parametros'!$C$10+'00-Parametros'!$C$11+'00-Parametros'!$C$12)+'00-Parametros'!$C$6)))</f>
        <v/>
      </c>
      <c r="J28" s="21">
        <f>IF($A28="","",$G28/(1-(('00-Parametros'!$C$9+'00-Parametros'!$C$10+'00-Parametros'!$C$11+'00-Parametros'!$C$12)+'00-Parametros'!$C$7)))</f>
        <v/>
      </c>
      <c r="K28" s="21">
        <f>IF($A28="","",$G28/(1-(('00-Parametros'!$C$9+'00-Parametros'!$C$10+'00-Parametros'!$C$11+'00-Parametros'!$C$12)+'00-Parametros'!$C$8)))</f>
        <v/>
      </c>
      <c r="L28" s="19">
        <f>IF(OR($A28="",$M28="",$M28=0),"",$I28/$M28)</f>
        <v/>
      </c>
      <c r="M28" s="9" t="n"/>
    </row>
    <row r="29">
      <c r="A29" s="18">
        <f>IF('01-Cadastro-Motos'!$A29="","",'01-Cadastro-Motos'!$A29)</f>
        <v/>
      </c>
      <c r="B29" s="18">
        <f>IF($A29="","",IFERROR(INDEX('01-Cadastro-Motos'!$B$4:$B$123,MATCH($A29,'01-Cadastro-Motos'!$A$4:$A$123,0)),""))</f>
        <v/>
      </c>
      <c r="C29" s="15">
        <f>IF($A29="","",IFERROR(INDEX('01-Cadastro-Motos'!$I$4:$I$123,MATCH($A29,'01-Cadastro-Motos'!$A$4:$A$123,0)),""))</f>
        <v/>
      </c>
      <c r="D29" s="15">
        <f>IF($A29="","",IFERROR(INDEX('02-Custos-Diretos'!$J$4:$J$123,MATCH($A29,'02-Custos-Diretos'!$A$4:$A$123,0)),0))</f>
        <v/>
      </c>
      <c r="E29" s="15">
        <f>IF($A29="","",$C29*'00-Parametros'!$C$13*('00-Parametros'!$C$15/30))</f>
        <v/>
      </c>
      <c r="F29" s="15">
        <f>IF($A29="","",'00-Parametros'!$C$16)</f>
        <v/>
      </c>
      <c r="G29" s="15">
        <f>IF($A29="","",SUM(C29:F29))</f>
        <v/>
      </c>
      <c r="H29" s="21">
        <f>IF($A29="","",$G29/(1-(('00-Parametros'!$C$9+'00-Parametros'!$C$10+'00-Parametros'!$C$11+'00-Parametros'!$C$12)+'00-Parametros'!$C$5)))</f>
        <v/>
      </c>
      <c r="I29" s="21">
        <f>IF($A29="","",$G29/(1-(('00-Parametros'!$C$9+'00-Parametros'!$C$10+'00-Parametros'!$C$11+'00-Parametros'!$C$12)+'00-Parametros'!$C$6)))</f>
        <v/>
      </c>
      <c r="J29" s="21">
        <f>IF($A29="","",$G29/(1-(('00-Parametros'!$C$9+'00-Parametros'!$C$10+'00-Parametros'!$C$11+'00-Parametros'!$C$12)+'00-Parametros'!$C$7)))</f>
        <v/>
      </c>
      <c r="K29" s="21">
        <f>IF($A29="","",$G29/(1-(('00-Parametros'!$C$9+'00-Parametros'!$C$10+'00-Parametros'!$C$11+'00-Parametros'!$C$12)+'00-Parametros'!$C$8)))</f>
        <v/>
      </c>
      <c r="L29" s="19">
        <f>IF(OR($A29="",$M29="",$M29=0),"",$I29/$M29)</f>
        <v/>
      </c>
      <c r="M29" s="9" t="n"/>
    </row>
    <row r="30">
      <c r="A30" s="18">
        <f>IF('01-Cadastro-Motos'!$A30="","",'01-Cadastro-Motos'!$A30)</f>
        <v/>
      </c>
      <c r="B30" s="18">
        <f>IF($A30="","",IFERROR(INDEX('01-Cadastro-Motos'!$B$4:$B$123,MATCH($A30,'01-Cadastro-Motos'!$A$4:$A$123,0)),""))</f>
        <v/>
      </c>
      <c r="C30" s="15">
        <f>IF($A30="","",IFERROR(INDEX('01-Cadastro-Motos'!$I$4:$I$123,MATCH($A30,'01-Cadastro-Motos'!$A$4:$A$123,0)),""))</f>
        <v/>
      </c>
      <c r="D30" s="15">
        <f>IF($A30="","",IFERROR(INDEX('02-Custos-Diretos'!$J$4:$J$123,MATCH($A30,'02-Custos-Diretos'!$A$4:$A$123,0)),0))</f>
        <v/>
      </c>
      <c r="E30" s="15">
        <f>IF($A30="","",$C30*'00-Parametros'!$C$13*('00-Parametros'!$C$15/30))</f>
        <v/>
      </c>
      <c r="F30" s="15">
        <f>IF($A30="","",'00-Parametros'!$C$16)</f>
        <v/>
      </c>
      <c r="G30" s="15">
        <f>IF($A30="","",SUM(C30:F30))</f>
        <v/>
      </c>
      <c r="H30" s="21">
        <f>IF($A30="","",$G30/(1-(('00-Parametros'!$C$9+'00-Parametros'!$C$10+'00-Parametros'!$C$11+'00-Parametros'!$C$12)+'00-Parametros'!$C$5)))</f>
        <v/>
      </c>
      <c r="I30" s="21">
        <f>IF($A30="","",$G30/(1-(('00-Parametros'!$C$9+'00-Parametros'!$C$10+'00-Parametros'!$C$11+'00-Parametros'!$C$12)+'00-Parametros'!$C$6)))</f>
        <v/>
      </c>
      <c r="J30" s="21">
        <f>IF($A30="","",$G30/(1-(('00-Parametros'!$C$9+'00-Parametros'!$C$10+'00-Parametros'!$C$11+'00-Parametros'!$C$12)+'00-Parametros'!$C$7)))</f>
        <v/>
      </c>
      <c r="K30" s="21">
        <f>IF($A30="","",$G30/(1-(('00-Parametros'!$C$9+'00-Parametros'!$C$10+'00-Parametros'!$C$11+'00-Parametros'!$C$12)+'00-Parametros'!$C$8)))</f>
        <v/>
      </c>
      <c r="L30" s="19">
        <f>IF(OR($A30="",$M30="",$M30=0),"",$I30/$M30)</f>
        <v/>
      </c>
      <c r="M30" s="9" t="n"/>
    </row>
    <row r="31">
      <c r="A31" s="18">
        <f>IF('01-Cadastro-Motos'!$A31="","",'01-Cadastro-Motos'!$A31)</f>
        <v/>
      </c>
      <c r="B31" s="18">
        <f>IF($A31="","",IFERROR(INDEX('01-Cadastro-Motos'!$B$4:$B$123,MATCH($A31,'01-Cadastro-Motos'!$A$4:$A$123,0)),""))</f>
        <v/>
      </c>
      <c r="C31" s="15">
        <f>IF($A31="","",IFERROR(INDEX('01-Cadastro-Motos'!$I$4:$I$123,MATCH($A31,'01-Cadastro-Motos'!$A$4:$A$123,0)),""))</f>
        <v/>
      </c>
      <c r="D31" s="15">
        <f>IF($A31="","",IFERROR(INDEX('02-Custos-Diretos'!$J$4:$J$123,MATCH($A31,'02-Custos-Diretos'!$A$4:$A$123,0)),0))</f>
        <v/>
      </c>
      <c r="E31" s="15">
        <f>IF($A31="","",$C31*'00-Parametros'!$C$13*('00-Parametros'!$C$15/30))</f>
        <v/>
      </c>
      <c r="F31" s="15">
        <f>IF($A31="","",'00-Parametros'!$C$16)</f>
        <v/>
      </c>
      <c r="G31" s="15">
        <f>IF($A31="","",SUM(C31:F31))</f>
        <v/>
      </c>
      <c r="H31" s="21">
        <f>IF($A31="","",$G31/(1-(('00-Parametros'!$C$9+'00-Parametros'!$C$10+'00-Parametros'!$C$11+'00-Parametros'!$C$12)+'00-Parametros'!$C$5)))</f>
        <v/>
      </c>
      <c r="I31" s="21">
        <f>IF($A31="","",$G31/(1-(('00-Parametros'!$C$9+'00-Parametros'!$C$10+'00-Parametros'!$C$11+'00-Parametros'!$C$12)+'00-Parametros'!$C$6)))</f>
        <v/>
      </c>
      <c r="J31" s="21">
        <f>IF($A31="","",$G31/(1-(('00-Parametros'!$C$9+'00-Parametros'!$C$10+'00-Parametros'!$C$11+'00-Parametros'!$C$12)+'00-Parametros'!$C$7)))</f>
        <v/>
      </c>
      <c r="K31" s="21">
        <f>IF($A31="","",$G31/(1-(('00-Parametros'!$C$9+'00-Parametros'!$C$10+'00-Parametros'!$C$11+'00-Parametros'!$C$12)+'00-Parametros'!$C$8)))</f>
        <v/>
      </c>
      <c r="L31" s="19">
        <f>IF(OR($A31="",$M31="",$M31=0),"",$I31/$M31)</f>
        <v/>
      </c>
      <c r="M31" s="9" t="n"/>
    </row>
    <row r="32">
      <c r="A32" s="18">
        <f>IF('01-Cadastro-Motos'!$A32="","",'01-Cadastro-Motos'!$A32)</f>
        <v/>
      </c>
      <c r="B32" s="18">
        <f>IF($A32="","",IFERROR(INDEX('01-Cadastro-Motos'!$B$4:$B$123,MATCH($A32,'01-Cadastro-Motos'!$A$4:$A$123,0)),""))</f>
        <v/>
      </c>
      <c r="C32" s="15">
        <f>IF($A32="","",IFERROR(INDEX('01-Cadastro-Motos'!$I$4:$I$123,MATCH($A32,'01-Cadastro-Motos'!$A$4:$A$123,0)),""))</f>
        <v/>
      </c>
      <c r="D32" s="15">
        <f>IF($A32="","",IFERROR(INDEX('02-Custos-Diretos'!$J$4:$J$123,MATCH($A32,'02-Custos-Diretos'!$A$4:$A$123,0)),0))</f>
        <v/>
      </c>
      <c r="E32" s="15">
        <f>IF($A32="","",$C32*'00-Parametros'!$C$13*('00-Parametros'!$C$15/30))</f>
        <v/>
      </c>
      <c r="F32" s="15">
        <f>IF($A32="","",'00-Parametros'!$C$16)</f>
        <v/>
      </c>
      <c r="G32" s="15">
        <f>IF($A32="","",SUM(C32:F32))</f>
        <v/>
      </c>
      <c r="H32" s="21">
        <f>IF($A32="","",$G32/(1-(('00-Parametros'!$C$9+'00-Parametros'!$C$10+'00-Parametros'!$C$11+'00-Parametros'!$C$12)+'00-Parametros'!$C$5)))</f>
        <v/>
      </c>
      <c r="I32" s="21">
        <f>IF($A32="","",$G32/(1-(('00-Parametros'!$C$9+'00-Parametros'!$C$10+'00-Parametros'!$C$11+'00-Parametros'!$C$12)+'00-Parametros'!$C$6)))</f>
        <v/>
      </c>
      <c r="J32" s="21">
        <f>IF($A32="","",$G32/(1-(('00-Parametros'!$C$9+'00-Parametros'!$C$10+'00-Parametros'!$C$11+'00-Parametros'!$C$12)+'00-Parametros'!$C$7)))</f>
        <v/>
      </c>
      <c r="K32" s="21">
        <f>IF($A32="","",$G32/(1-(('00-Parametros'!$C$9+'00-Parametros'!$C$10+'00-Parametros'!$C$11+'00-Parametros'!$C$12)+'00-Parametros'!$C$8)))</f>
        <v/>
      </c>
      <c r="L32" s="19">
        <f>IF(OR($A32="",$M32="",$M32=0),"",$I32/$M32)</f>
        <v/>
      </c>
      <c r="M32" s="9" t="n"/>
    </row>
    <row r="33">
      <c r="A33" s="18">
        <f>IF('01-Cadastro-Motos'!$A33="","",'01-Cadastro-Motos'!$A33)</f>
        <v/>
      </c>
      <c r="B33" s="18">
        <f>IF($A33="","",IFERROR(INDEX('01-Cadastro-Motos'!$B$4:$B$123,MATCH($A33,'01-Cadastro-Motos'!$A$4:$A$123,0)),""))</f>
        <v/>
      </c>
      <c r="C33" s="15">
        <f>IF($A33="","",IFERROR(INDEX('01-Cadastro-Motos'!$I$4:$I$123,MATCH($A33,'01-Cadastro-Motos'!$A$4:$A$123,0)),""))</f>
        <v/>
      </c>
      <c r="D33" s="15">
        <f>IF($A33="","",IFERROR(INDEX('02-Custos-Diretos'!$J$4:$J$123,MATCH($A33,'02-Custos-Diretos'!$A$4:$A$123,0)),0))</f>
        <v/>
      </c>
      <c r="E33" s="15">
        <f>IF($A33="","",$C33*'00-Parametros'!$C$13*('00-Parametros'!$C$15/30))</f>
        <v/>
      </c>
      <c r="F33" s="15">
        <f>IF($A33="","",'00-Parametros'!$C$16)</f>
        <v/>
      </c>
      <c r="G33" s="15">
        <f>IF($A33="","",SUM(C33:F33))</f>
        <v/>
      </c>
      <c r="H33" s="21">
        <f>IF($A33="","",$G33/(1-(('00-Parametros'!$C$9+'00-Parametros'!$C$10+'00-Parametros'!$C$11+'00-Parametros'!$C$12)+'00-Parametros'!$C$5)))</f>
        <v/>
      </c>
      <c r="I33" s="21">
        <f>IF($A33="","",$G33/(1-(('00-Parametros'!$C$9+'00-Parametros'!$C$10+'00-Parametros'!$C$11+'00-Parametros'!$C$12)+'00-Parametros'!$C$6)))</f>
        <v/>
      </c>
      <c r="J33" s="21">
        <f>IF($A33="","",$G33/(1-(('00-Parametros'!$C$9+'00-Parametros'!$C$10+'00-Parametros'!$C$11+'00-Parametros'!$C$12)+'00-Parametros'!$C$7)))</f>
        <v/>
      </c>
      <c r="K33" s="21">
        <f>IF($A33="","",$G33/(1-(('00-Parametros'!$C$9+'00-Parametros'!$C$10+'00-Parametros'!$C$11+'00-Parametros'!$C$12)+'00-Parametros'!$C$8)))</f>
        <v/>
      </c>
      <c r="L33" s="19">
        <f>IF(OR($A33="",$M33="",$M33=0),"",$I33/$M33)</f>
        <v/>
      </c>
      <c r="M33" s="9" t="n"/>
    </row>
    <row r="34">
      <c r="A34" s="18">
        <f>IF('01-Cadastro-Motos'!$A34="","",'01-Cadastro-Motos'!$A34)</f>
        <v/>
      </c>
      <c r="B34" s="18">
        <f>IF($A34="","",IFERROR(INDEX('01-Cadastro-Motos'!$B$4:$B$123,MATCH($A34,'01-Cadastro-Motos'!$A$4:$A$123,0)),""))</f>
        <v/>
      </c>
      <c r="C34" s="15">
        <f>IF($A34="","",IFERROR(INDEX('01-Cadastro-Motos'!$I$4:$I$123,MATCH($A34,'01-Cadastro-Motos'!$A$4:$A$123,0)),""))</f>
        <v/>
      </c>
      <c r="D34" s="15">
        <f>IF($A34="","",IFERROR(INDEX('02-Custos-Diretos'!$J$4:$J$123,MATCH($A34,'02-Custos-Diretos'!$A$4:$A$123,0)),0))</f>
        <v/>
      </c>
      <c r="E34" s="15">
        <f>IF($A34="","",$C34*'00-Parametros'!$C$13*('00-Parametros'!$C$15/30))</f>
        <v/>
      </c>
      <c r="F34" s="15">
        <f>IF($A34="","",'00-Parametros'!$C$16)</f>
        <v/>
      </c>
      <c r="G34" s="15">
        <f>IF($A34="","",SUM(C34:F34))</f>
        <v/>
      </c>
      <c r="H34" s="21">
        <f>IF($A34="","",$G34/(1-(('00-Parametros'!$C$9+'00-Parametros'!$C$10+'00-Parametros'!$C$11+'00-Parametros'!$C$12)+'00-Parametros'!$C$5)))</f>
        <v/>
      </c>
      <c r="I34" s="21">
        <f>IF($A34="","",$G34/(1-(('00-Parametros'!$C$9+'00-Parametros'!$C$10+'00-Parametros'!$C$11+'00-Parametros'!$C$12)+'00-Parametros'!$C$6)))</f>
        <v/>
      </c>
      <c r="J34" s="21">
        <f>IF($A34="","",$G34/(1-(('00-Parametros'!$C$9+'00-Parametros'!$C$10+'00-Parametros'!$C$11+'00-Parametros'!$C$12)+'00-Parametros'!$C$7)))</f>
        <v/>
      </c>
      <c r="K34" s="21">
        <f>IF($A34="","",$G34/(1-(('00-Parametros'!$C$9+'00-Parametros'!$C$10+'00-Parametros'!$C$11+'00-Parametros'!$C$12)+'00-Parametros'!$C$8)))</f>
        <v/>
      </c>
      <c r="L34" s="19">
        <f>IF(OR($A34="",$M34="",$M34=0),"",$I34/$M34)</f>
        <v/>
      </c>
      <c r="M34" s="9" t="n"/>
    </row>
    <row r="35">
      <c r="A35" s="18">
        <f>IF('01-Cadastro-Motos'!$A35="","",'01-Cadastro-Motos'!$A35)</f>
        <v/>
      </c>
      <c r="B35" s="18">
        <f>IF($A35="","",IFERROR(INDEX('01-Cadastro-Motos'!$B$4:$B$123,MATCH($A35,'01-Cadastro-Motos'!$A$4:$A$123,0)),""))</f>
        <v/>
      </c>
      <c r="C35" s="15">
        <f>IF($A35="","",IFERROR(INDEX('01-Cadastro-Motos'!$I$4:$I$123,MATCH($A35,'01-Cadastro-Motos'!$A$4:$A$123,0)),""))</f>
        <v/>
      </c>
      <c r="D35" s="15">
        <f>IF($A35="","",IFERROR(INDEX('02-Custos-Diretos'!$J$4:$J$123,MATCH($A35,'02-Custos-Diretos'!$A$4:$A$123,0)),0))</f>
        <v/>
      </c>
      <c r="E35" s="15">
        <f>IF($A35="","",$C35*'00-Parametros'!$C$13*('00-Parametros'!$C$15/30))</f>
        <v/>
      </c>
      <c r="F35" s="15">
        <f>IF($A35="","",'00-Parametros'!$C$16)</f>
        <v/>
      </c>
      <c r="G35" s="15">
        <f>IF($A35="","",SUM(C35:F35))</f>
        <v/>
      </c>
      <c r="H35" s="21">
        <f>IF($A35="","",$G35/(1-(('00-Parametros'!$C$9+'00-Parametros'!$C$10+'00-Parametros'!$C$11+'00-Parametros'!$C$12)+'00-Parametros'!$C$5)))</f>
        <v/>
      </c>
      <c r="I35" s="21">
        <f>IF($A35="","",$G35/(1-(('00-Parametros'!$C$9+'00-Parametros'!$C$10+'00-Parametros'!$C$11+'00-Parametros'!$C$12)+'00-Parametros'!$C$6)))</f>
        <v/>
      </c>
      <c r="J35" s="21">
        <f>IF($A35="","",$G35/(1-(('00-Parametros'!$C$9+'00-Parametros'!$C$10+'00-Parametros'!$C$11+'00-Parametros'!$C$12)+'00-Parametros'!$C$7)))</f>
        <v/>
      </c>
      <c r="K35" s="21">
        <f>IF($A35="","",$G35/(1-(('00-Parametros'!$C$9+'00-Parametros'!$C$10+'00-Parametros'!$C$11+'00-Parametros'!$C$12)+'00-Parametros'!$C$8)))</f>
        <v/>
      </c>
      <c r="L35" s="19">
        <f>IF(OR($A35="",$M35="",$M35=0),"",$I35/$M35)</f>
        <v/>
      </c>
      <c r="M35" s="9" t="n"/>
    </row>
    <row r="36">
      <c r="A36" s="18">
        <f>IF('01-Cadastro-Motos'!$A36="","",'01-Cadastro-Motos'!$A36)</f>
        <v/>
      </c>
      <c r="B36" s="18">
        <f>IF($A36="","",IFERROR(INDEX('01-Cadastro-Motos'!$B$4:$B$123,MATCH($A36,'01-Cadastro-Motos'!$A$4:$A$123,0)),""))</f>
        <v/>
      </c>
      <c r="C36" s="15">
        <f>IF($A36="","",IFERROR(INDEX('01-Cadastro-Motos'!$I$4:$I$123,MATCH($A36,'01-Cadastro-Motos'!$A$4:$A$123,0)),""))</f>
        <v/>
      </c>
      <c r="D36" s="15">
        <f>IF($A36="","",IFERROR(INDEX('02-Custos-Diretos'!$J$4:$J$123,MATCH($A36,'02-Custos-Diretos'!$A$4:$A$123,0)),0))</f>
        <v/>
      </c>
      <c r="E36" s="15">
        <f>IF($A36="","",$C36*'00-Parametros'!$C$13*('00-Parametros'!$C$15/30))</f>
        <v/>
      </c>
      <c r="F36" s="15">
        <f>IF($A36="","",'00-Parametros'!$C$16)</f>
        <v/>
      </c>
      <c r="G36" s="15">
        <f>IF($A36="","",SUM(C36:F36))</f>
        <v/>
      </c>
      <c r="H36" s="21">
        <f>IF($A36="","",$G36/(1-(('00-Parametros'!$C$9+'00-Parametros'!$C$10+'00-Parametros'!$C$11+'00-Parametros'!$C$12)+'00-Parametros'!$C$5)))</f>
        <v/>
      </c>
      <c r="I36" s="21">
        <f>IF($A36="","",$G36/(1-(('00-Parametros'!$C$9+'00-Parametros'!$C$10+'00-Parametros'!$C$11+'00-Parametros'!$C$12)+'00-Parametros'!$C$6)))</f>
        <v/>
      </c>
      <c r="J36" s="21">
        <f>IF($A36="","",$G36/(1-(('00-Parametros'!$C$9+'00-Parametros'!$C$10+'00-Parametros'!$C$11+'00-Parametros'!$C$12)+'00-Parametros'!$C$7)))</f>
        <v/>
      </c>
      <c r="K36" s="21">
        <f>IF($A36="","",$G36/(1-(('00-Parametros'!$C$9+'00-Parametros'!$C$10+'00-Parametros'!$C$11+'00-Parametros'!$C$12)+'00-Parametros'!$C$8)))</f>
        <v/>
      </c>
      <c r="L36" s="19">
        <f>IF(OR($A36="",$M36="",$M36=0),"",$I36/$M36)</f>
        <v/>
      </c>
      <c r="M36" s="9" t="n"/>
    </row>
    <row r="37">
      <c r="A37" s="18">
        <f>IF('01-Cadastro-Motos'!$A37="","",'01-Cadastro-Motos'!$A37)</f>
        <v/>
      </c>
      <c r="B37" s="18">
        <f>IF($A37="","",IFERROR(INDEX('01-Cadastro-Motos'!$B$4:$B$123,MATCH($A37,'01-Cadastro-Motos'!$A$4:$A$123,0)),""))</f>
        <v/>
      </c>
      <c r="C37" s="15">
        <f>IF($A37="","",IFERROR(INDEX('01-Cadastro-Motos'!$I$4:$I$123,MATCH($A37,'01-Cadastro-Motos'!$A$4:$A$123,0)),""))</f>
        <v/>
      </c>
      <c r="D37" s="15">
        <f>IF($A37="","",IFERROR(INDEX('02-Custos-Diretos'!$J$4:$J$123,MATCH($A37,'02-Custos-Diretos'!$A$4:$A$123,0)),0))</f>
        <v/>
      </c>
      <c r="E37" s="15">
        <f>IF($A37="","",$C37*'00-Parametros'!$C$13*('00-Parametros'!$C$15/30))</f>
        <v/>
      </c>
      <c r="F37" s="15">
        <f>IF($A37="","",'00-Parametros'!$C$16)</f>
        <v/>
      </c>
      <c r="G37" s="15">
        <f>IF($A37="","",SUM(C37:F37))</f>
        <v/>
      </c>
      <c r="H37" s="21">
        <f>IF($A37="","",$G37/(1-(('00-Parametros'!$C$9+'00-Parametros'!$C$10+'00-Parametros'!$C$11+'00-Parametros'!$C$12)+'00-Parametros'!$C$5)))</f>
        <v/>
      </c>
      <c r="I37" s="21">
        <f>IF($A37="","",$G37/(1-(('00-Parametros'!$C$9+'00-Parametros'!$C$10+'00-Parametros'!$C$11+'00-Parametros'!$C$12)+'00-Parametros'!$C$6)))</f>
        <v/>
      </c>
      <c r="J37" s="21">
        <f>IF($A37="","",$G37/(1-(('00-Parametros'!$C$9+'00-Parametros'!$C$10+'00-Parametros'!$C$11+'00-Parametros'!$C$12)+'00-Parametros'!$C$7)))</f>
        <v/>
      </c>
      <c r="K37" s="21">
        <f>IF($A37="","",$G37/(1-(('00-Parametros'!$C$9+'00-Parametros'!$C$10+'00-Parametros'!$C$11+'00-Parametros'!$C$12)+'00-Parametros'!$C$8)))</f>
        <v/>
      </c>
      <c r="L37" s="19">
        <f>IF(OR($A37="",$M37="",$M37=0),"",$I37/$M37)</f>
        <v/>
      </c>
      <c r="M37" s="9" t="n"/>
    </row>
    <row r="38">
      <c r="A38" s="18">
        <f>IF('01-Cadastro-Motos'!$A38="","",'01-Cadastro-Motos'!$A38)</f>
        <v/>
      </c>
      <c r="B38" s="18">
        <f>IF($A38="","",IFERROR(INDEX('01-Cadastro-Motos'!$B$4:$B$123,MATCH($A38,'01-Cadastro-Motos'!$A$4:$A$123,0)),""))</f>
        <v/>
      </c>
      <c r="C38" s="15">
        <f>IF($A38="","",IFERROR(INDEX('01-Cadastro-Motos'!$I$4:$I$123,MATCH($A38,'01-Cadastro-Motos'!$A$4:$A$123,0)),""))</f>
        <v/>
      </c>
      <c r="D38" s="15">
        <f>IF($A38="","",IFERROR(INDEX('02-Custos-Diretos'!$J$4:$J$123,MATCH($A38,'02-Custos-Diretos'!$A$4:$A$123,0)),0))</f>
        <v/>
      </c>
      <c r="E38" s="15">
        <f>IF($A38="","",$C38*'00-Parametros'!$C$13*('00-Parametros'!$C$15/30))</f>
        <v/>
      </c>
      <c r="F38" s="15">
        <f>IF($A38="","",'00-Parametros'!$C$16)</f>
        <v/>
      </c>
      <c r="G38" s="15">
        <f>IF($A38="","",SUM(C38:F38))</f>
        <v/>
      </c>
      <c r="H38" s="21">
        <f>IF($A38="","",$G38/(1-(('00-Parametros'!$C$9+'00-Parametros'!$C$10+'00-Parametros'!$C$11+'00-Parametros'!$C$12)+'00-Parametros'!$C$5)))</f>
        <v/>
      </c>
      <c r="I38" s="21">
        <f>IF($A38="","",$G38/(1-(('00-Parametros'!$C$9+'00-Parametros'!$C$10+'00-Parametros'!$C$11+'00-Parametros'!$C$12)+'00-Parametros'!$C$6)))</f>
        <v/>
      </c>
      <c r="J38" s="21">
        <f>IF($A38="","",$G38/(1-(('00-Parametros'!$C$9+'00-Parametros'!$C$10+'00-Parametros'!$C$11+'00-Parametros'!$C$12)+'00-Parametros'!$C$7)))</f>
        <v/>
      </c>
      <c r="K38" s="21">
        <f>IF($A38="","",$G38/(1-(('00-Parametros'!$C$9+'00-Parametros'!$C$10+'00-Parametros'!$C$11+'00-Parametros'!$C$12)+'00-Parametros'!$C$8)))</f>
        <v/>
      </c>
      <c r="L38" s="19">
        <f>IF(OR($A38="",$M38="",$M38=0),"",$I38/$M38)</f>
        <v/>
      </c>
      <c r="M38" s="9" t="n"/>
    </row>
    <row r="39">
      <c r="A39" s="18">
        <f>IF('01-Cadastro-Motos'!$A39="","",'01-Cadastro-Motos'!$A39)</f>
        <v/>
      </c>
      <c r="B39" s="18">
        <f>IF($A39="","",IFERROR(INDEX('01-Cadastro-Motos'!$B$4:$B$123,MATCH($A39,'01-Cadastro-Motos'!$A$4:$A$123,0)),""))</f>
        <v/>
      </c>
      <c r="C39" s="15">
        <f>IF($A39="","",IFERROR(INDEX('01-Cadastro-Motos'!$I$4:$I$123,MATCH($A39,'01-Cadastro-Motos'!$A$4:$A$123,0)),""))</f>
        <v/>
      </c>
      <c r="D39" s="15">
        <f>IF($A39="","",IFERROR(INDEX('02-Custos-Diretos'!$J$4:$J$123,MATCH($A39,'02-Custos-Diretos'!$A$4:$A$123,0)),0))</f>
        <v/>
      </c>
      <c r="E39" s="15">
        <f>IF($A39="","",$C39*'00-Parametros'!$C$13*('00-Parametros'!$C$15/30))</f>
        <v/>
      </c>
      <c r="F39" s="15">
        <f>IF($A39="","",'00-Parametros'!$C$16)</f>
        <v/>
      </c>
      <c r="G39" s="15">
        <f>IF($A39="","",SUM(C39:F39))</f>
        <v/>
      </c>
      <c r="H39" s="21">
        <f>IF($A39="","",$G39/(1-(('00-Parametros'!$C$9+'00-Parametros'!$C$10+'00-Parametros'!$C$11+'00-Parametros'!$C$12)+'00-Parametros'!$C$5)))</f>
        <v/>
      </c>
      <c r="I39" s="21">
        <f>IF($A39="","",$G39/(1-(('00-Parametros'!$C$9+'00-Parametros'!$C$10+'00-Parametros'!$C$11+'00-Parametros'!$C$12)+'00-Parametros'!$C$6)))</f>
        <v/>
      </c>
      <c r="J39" s="21">
        <f>IF($A39="","",$G39/(1-(('00-Parametros'!$C$9+'00-Parametros'!$C$10+'00-Parametros'!$C$11+'00-Parametros'!$C$12)+'00-Parametros'!$C$7)))</f>
        <v/>
      </c>
      <c r="K39" s="21">
        <f>IF($A39="","",$G39/(1-(('00-Parametros'!$C$9+'00-Parametros'!$C$10+'00-Parametros'!$C$11+'00-Parametros'!$C$12)+'00-Parametros'!$C$8)))</f>
        <v/>
      </c>
      <c r="L39" s="19">
        <f>IF(OR($A39="",$M39="",$M39=0),"",$I39/$M39)</f>
        <v/>
      </c>
      <c r="M39" s="9" t="n"/>
    </row>
    <row r="40">
      <c r="A40" s="18">
        <f>IF('01-Cadastro-Motos'!$A40="","",'01-Cadastro-Motos'!$A40)</f>
        <v/>
      </c>
      <c r="B40" s="18">
        <f>IF($A40="","",IFERROR(INDEX('01-Cadastro-Motos'!$B$4:$B$123,MATCH($A40,'01-Cadastro-Motos'!$A$4:$A$123,0)),""))</f>
        <v/>
      </c>
      <c r="C40" s="15">
        <f>IF($A40="","",IFERROR(INDEX('01-Cadastro-Motos'!$I$4:$I$123,MATCH($A40,'01-Cadastro-Motos'!$A$4:$A$123,0)),""))</f>
        <v/>
      </c>
      <c r="D40" s="15">
        <f>IF($A40="","",IFERROR(INDEX('02-Custos-Diretos'!$J$4:$J$123,MATCH($A40,'02-Custos-Diretos'!$A$4:$A$123,0)),0))</f>
        <v/>
      </c>
      <c r="E40" s="15">
        <f>IF($A40="","",$C40*'00-Parametros'!$C$13*('00-Parametros'!$C$15/30))</f>
        <v/>
      </c>
      <c r="F40" s="15">
        <f>IF($A40="","",'00-Parametros'!$C$16)</f>
        <v/>
      </c>
      <c r="G40" s="15">
        <f>IF($A40="","",SUM(C40:F40))</f>
        <v/>
      </c>
      <c r="H40" s="21">
        <f>IF($A40="","",$G40/(1-(('00-Parametros'!$C$9+'00-Parametros'!$C$10+'00-Parametros'!$C$11+'00-Parametros'!$C$12)+'00-Parametros'!$C$5)))</f>
        <v/>
      </c>
      <c r="I40" s="21">
        <f>IF($A40="","",$G40/(1-(('00-Parametros'!$C$9+'00-Parametros'!$C$10+'00-Parametros'!$C$11+'00-Parametros'!$C$12)+'00-Parametros'!$C$6)))</f>
        <v/>
      </c>
      <c r="J40" s="21">
        <f>IF($A40="","",$G40/(1-(('00-Parametros'!$C$9+'00-Parametros'!$C$10+'00-Parametros'!$C$11+'00-Parametros'!$C$12)+'00-Parametros'!$C$7)))</f>
        <v/>
      </c>
      <c r="K40" s="21">
        <f>IF($A40="","",$G40/(1-(('00-Parametros'!$C$9+'00-Parametros'!$C$10+'00-Parametros'!$C$11+'00-Parametros'!$C$12)+'00-Parametros'!$C$8)))</f>
        <v/>
      </c>
      <c r="L40" s="19">
        <f>IF(OR($A40="",$M40="",$M40=0),"",$I40/$M40)</f>
        <v/>
      </c>
      <c r="M40" s="9" t="n"/>
    </row>
    <row r="41">
      <c r="A41" s="18">
        <f>IF('01-Cadastro-Motos'!$A41="","",'01-Cadastro-Motos'!$A41)</f>
        <v/>
      </c>
      <c r="B41" s="18">
        <f>IF($A41="","",IFERROR(INDEX('01-Cadastro-Motos'!$B$4:$B$123,MATCH($A41,'01-Cadastro-Motos'!$A$4:$A$123,0)),""))</f>
        <v/>
      </c>
      <c r="C41" s="15">
        <f>IF($A41="","",IFERROR(INDEX('01-Cadastro-Motos'!$I$4:$I$123,MATCH($A41,'01-Cadastro-Motos'!$A$4:$A$123,0)),""))</f>
        <v/>
      </c>
      <c r="D41" s="15">
        <f>IF($A41="","",IFERROR(INDEX('02-Custos-Diretos'!$J$4:$J$123,MATCH($A41,'02-Custos-Diretos'!$A$4:$A$123,0)),0))</f>
        <v/>
      </c>
      <c r="E41" s="15">
        <f>IF($A41="","",$C41*'00-Parametros'!$C$13*('00-Parametros'!$C$15/30))</f>
        <v/>
      </c>
      <c r="F41" s="15">
        <f>IF($A41="","",'00-Parametros'!$C$16)</f>
        <v/>
      </c>
      <c r="G41" s="15">
        <f>IF($A41="","",SUM(C41:F41))</f>
        <v/>
      </c>
      <c r="H41" s="21">
        <f>IF($A41="","",$G41/(1-(('00-Parametros'!$C$9+'00-Parametros'!$C$10+'00-Parametros'!$C$11+'00-Parametros'!$C$12)+'00-Parametros'!$C$5)))</f>
        <v/>
      </c>
      <c r="I41" s="21">
        <f>IF($A41="","",$G41/(1-(('00-Parametros'!$C$9+'00-Parametros'!$C$10+'00-Parametros'!$C$11+'00-Parametros'!$C$12)+'00-Parametros'!$C$6)))</f>
        <v/>
      </c>
      <c r="J41" s="21">
        <f>IF($A41="","",$G41/(1-(('00-Parametros'!$C$9+'00-Parametros'!$C$10+'00-Parametros'!$C$11+'00-Parametros'!$C$12)+'00-Parametros'!$C$7)))</f>
        <v/>
      </c>
      <c r="K41" s="21">
        <f>IF($A41="","",$G41/(1-(('00-Parametros'!$C$9+'00-Parametros'!$C$10+'00-Parametros'!$C$11+'00-Parametros'!$C$12)+'00-Parametros'!$C$8)))</f>
        <v/>
      </c>
      <c r="L41" s="19">
        <f>IF(OR($A41="",$M41="",$M41=0),"",$I41/$M41)</f>
        <v/>
      </c>
      <c r="M41" s="9" t="n"/>
    </row>
    <row r="42">
      <c r="A42" s="18">
        <f>IF('01-Cadastro-Motos'!$A42="","",'01-Cadastro-Motos'!$A42)</f>
        <v/>
      </c>
      <c r="B42" s="18">
        <f>IF($A42="","",IFERROR(INDEX('01-Cadastro-Motos'!$B$4:$B$123,MATCH($A42,'01-Cadastro-Motos'!$A$4:$A$123,0)),""))</f>
        <v/>
      </c>
      <c r="C42" s="15">
        <f>IF($A42="","",IFERROR(INDEX('01-Cadastro-Motos'!$I$4:$I$123,MATCH($A42,'01-Cadastro-Motos'!$A$4:$A$123,0)),""))</f>
        <v/>
      </c>
      <c r="D42" s="15">
        <f>IF($A42="","",IFERROR(INDEX('02-Custos-Diretos'!$J$4:$J$123,MATCH($A42,'02-Custos-Diretos'!$A$4:$A$123,0)),0))</f>
        <v/>
      </c>
      <c r="E42" s="15">
        <f>IF($A42="","",$C42*'00-Parametros'!$C$13*('00-Parametros'!$C$15/30))</f>
        <v/>
      </c>
      <c r="F42" s="15">
        <f>IF($A42="","",'00-Parametros'!$C$16)</f>
        <v/>
      </c>
      <c r="G42" s="15">
        <f>IF($A42="","",SUM(C42:F42))</f>
        <v/>
      </c>
      <c r="H42" s="21">
        <f>IF($A42="","",$G42/(1-(('00-Parametros'!$C$9+'00-Parametros'!$C$10+'00-Parametros'!$C$11+'00-Parametros'!$C$12)+'00-Parametros'!$C$5)))</f>
        <v/>
      </c>
      <c r="I42" s="21">
        <f>IF($A42="","",$G42/(1-(('00-Parametros'!$C$9+'00-Parametros'!$C$10+'00-Parametros'!$C$11+'00-Parametros'!$C$12)+'00-Parametros'!$C$6)))</f>
        <v/>
      </c>
      <c r="J42" s="21">
        <f>IF($A42="","",$G42/(1-(('00-Parametros'!$C$9+'00-Parametros'!$C$10+'00-Parametros'!$C$11+'00-Parametros'!$C$12)+'00-Parametros'!$C$7)))</f>
        <v/>
      </c>
      <c r="K42" s="21">
        <f>IF($A42="","",$G42/(1-(('00-Parametros'!$C$9+'00-Parametros'!$C$10+'00-Parametros'!$C$11+'00-Parametros'!$C$12)+'00-Parametros'!$C$8)))</f>
        <v/>
      </c>
      <c r="L42" s="19">
        <f>IF(OR($A42="",$M42="",$M42=0),"",$I42/$M42)</f>
        <v/>
      </c>
      <c r="M42" s="9" t="n"/>
    </row>
    <row r="43">
      <c r="A43" s="18">
        <f>IF('01-Cadastro-Motos'!$A43="","",'01-Cadastro-Motos'!$A43)</f>
        <v/>
      </c>
      <c r="B43" s="18">
        <f>IF($A43="","",IFERROR(INDEX('01-Cadastro-Motos'!$B$4:$B$123,MATCH($A43,'01-Cadastro-Motos'!$A$4:$A$123,0)),""))</f>
        <v/>
      </c>
      <c r="C43" s="15">
        <f>IF($A43="","",IFERROR(INDEX('01-Cadastro-Motos'!$I$4:$I$123,MATCH($A43,'01-Cadastro-Motos'!$A$4:$A$123,0)),""))</f>
        <v/>
      </c>
      <c r="D43" s="15">
        <f>IF($A43="","",IFERROR(INDEX('02-Custos-Diretos'!$J$4:$J$123,MATCH($A43,'02-Custos-Diretos'!$A$4:$A$123,0)),0))</f>
        <v/>
      </c>
      <c r="E43" s="15">
        <f>IF($A43="","",$C43*'00-Parametros'!$C$13*('00-Parametros'!$C$15/30))</f>
        <v/>
      </c>
      <c r="F43" s="15">
        <f>IF($A43="","",'00-Parametros'!$C$16)</f>
        <v/>
      </c>
      <c r="G43" s="15">
        <f>IF($A43="","",SUM(C43:F43))</f>
        <v/>
      </c>
      <c r="H43" s="21">
        <f>IF($A43="","",$G43/(1-(('00-Parametros'!$C$9+'00-Parametros'!$C$10+'00-Parametros'!$C$11+'00-Parametros'!$C$12)+'00-Parametros'!$C$5)))</f>
        <v/>
      </c>
      <c r="I43" s="21">
        <f>IF($A43="","",$G43/(1-(('00-Parametros'!$C$9+'00-Parametros'!$C$10+'00-Parametros'!$C$11+'00-Parametros'!$C$12)+'00-Parametros'!$C$6)))</f>
        <v/>
      </c>
      <c r="J43" s="21">
        <f>IF($A43="","",$G43/(1-(('00-Parametros'!$C$9+'00-Parametros'!$C$10+'00-Parametros'!$C$11+'00-Parametros'!$C$12)+'00-Parametros'!$C$7)))</f>
        <v/>
      </c>
      <c r="K43" s="21">
        <f>IF($A43="","",$G43/(1-(('00-Parametros'!$C$9+'00-Parametros'!$C$10+'00-Parametros'!$C$11+'00-Parametros'!$C$12)+'00-Parametros'!$C$8)))</f>
        <v/>
      </c>
      <c r="L43" s="19">
        <f>IF(OR($A43="",$M43="",$M43=0),"",$I43/$M43)</f>
        <v/>
      </c>
      <c r="M43" s="9" t="n"/>
    </row>
    <row r="44">
      <c r="A44" s="18">
        <f>IF('01-Cadastro-Motos'!$A44="","",'01-Cadastro-Motos'!$A44)</f>
        <v/>
      </c>
      <c r="B44" s="18">
        <f>IF($A44="","",IFERROR(INDEX('01-Cadastro-Motos'!$B$4:$B$123,MATCH($A44,'01-Cadastro-Motos'!$A$4:$A$123,0)),""))</f>
        <v/>
      </c>
      <c r="C44" s="15">
        <f>IF($A44="","",IFERROR(INDEX('01-Cadastro-Motos'!$I$4:$I$123,MATCH($A44,'01-Cadastro-Motos'!$A$4:$A$123,0)),""))</f>
        <v/>
      </c>
      <c r="D44" s="15">
        <f>IF($A44="","",IFERROR(INDEX('02-Custos-Diretos'!$J$4:$J$123,MATCH($A44,'02-Custos-Diretos'!$A$4:$A$123,0)),0))</f>
        <v/>
      </c>
      <c r="E44" s="15">
        <f>IF($A44="","",$C44*'00-Parametros'!$C$13*('00-Parametros'!$C$15/30))</f>
        <v/>
      </c>
      <c r="F44" s="15">
        <f>IF($A44="","",'00-Parametros'!$C$16)</f>
        <v/>
      </c>
      <c r="G44" s="15">
        <f>IF($A44="","",SUM(C44:F44))</f>
        <v/>
      </c>
      <c r="H44" s="21">
        <f>IF($A44="","",$G44/(1-(('00-Parametros'!$C$9+'00-Parametros'!$C$10+'00-Parametros'!$C$11+'00-Parametros'!$C$12)+'00-Parametros'!$C$5)))</f>
        <v/>
      </c>
      <c r="I44" s="21">
        <f>IF($A44="","",$G44/(1-(('00-Parametros'!$C$9+'00-Parametros'!$C$10+'00-Parametros'!$C$11+'00-Parametros'!$C$12)+'00-Parametros'!$C$6)))</f>
        <v/>
      </c>
      <c r="J44" s="21">
        <f>IF($A44="","",$G44/(1-(('00-Parametros'!$C$9+'00-Parametros'!$C$10+'00-Parametros'!$C$11+'00-Parametros'!$C$12)+'00-Parametros'!$C$7)))</f>
        <v/>
      </c>
      <c r="K44" s="21">
        <f>IF($A44="","",$G44/(1-(('00-Parametros'!$C$9+'00-Parametros'!$C$10+'00-Parametros'!$C$11+'00-Parametros'!$C$12)+'00-Parametros'!$C$8)))</f>
        <v/>
      </c>
      <c r="L44" s="19">
        <f>IF(OR($A44="",$M44="",$M44=0),"",$I44/$M44)</f>
        <v/>
      </c>
      <c r="M44" s="9" t="n"/>
    </row>
    <row r="45">
      <c r="A45" s="18">
        <f>IF('01-Cadastro-Motos'!$A45="","",'01-Cadastro-Motos'!$A45)</f>
        <v/>
      </c>
      <c r="B45" s="18">
        <f>IF($A45="","",IFERROR(INDEX('01-Cadastro-Motos'!$B$4:$B$123,MATCH($A45,'01-Cadastro-Motos'!$A$4:$A$123,0)),""))</f>
        <v/>
      </c>
      <c r="C45" s="15">
        <f>IF($A45="","",IFERROR(INDEX('01-Cadastro-Motos'!$I$4:$I$123,MATCH($A45,'01-Cadastro-Motos'!$A$4:$A$123,0)),""))</f>
        <v/>
      </c>
      <c r="D45" s="15">
        <f>IF($A45="","",IFERROR(INDEX('02-Custos-Diretos'!$J$4:$J$123,MATCH($A45,'02-Custos-Diretos'!$A$4:$A$123,0)),0))</f>
        <v/>
      </c>
      <c r="E45" s="15">
        <f>IF($A45="","",$C45*'00-Parametros'!$C$13*('00-Parametros'!$C$15/30))</f>
        <v/>
      </c>
      <c r="F45" s="15">
        <f>IF($A45="","",'00-Parametros'!$C$16)</f>
        <v/>
      </c>
      <c r="G45" s="15">
        <f>IF($A45="","",SUM(C45:F45))</f>
        <v/>
      </c>
      <c r="H45" s="21">
        <f>IF($A45="","",$G45/(1-(('00-Parametros'!$C$9+'00-Parametros'!$C$10+'00-Parametros'!$C$11+'00-Parametros'!$C$12)+'00-Parametros'!$C$5)))</f>
        <v/>
      </c>
      <c r="I45" s="21">
        <f>IF($A45="","",$G45/(1-(('00-Parametros'!$C$9+'00-Parametros'!$C$10+'00-Parametros'!$C$11+'00-Parametros'!$C$12)+'00-Parametros'!$C$6)))</f>
        <v/>
      </c>
      <c r="J45" s="21">
        <f>IF($A45="","",$G45/(1-(('00-Parametros'!$C$9+'00-Parametros'!$C$10+'00-Parametros'!$C$11+'00-Parametros'!$C$12)+'00-Parametros'!$C$7)))</f>
        <v/>
      </c>
      <c r="K45" s="21">
        <f>IF($A45="","",$G45/(1-(('00-Parametros'!$C$9+'00-Parametros'!$C$10+'00-Parametros'!$C$11+'00-Parametros'!$C$12)+'00-Parametros'!$C$8)))</f>
        <v/>
      </c>
      <c r="L45" s="19">
        <f>IF(OR($A45="",$M45="",$M45=0),"",$I45/$M45)</f>
        <v/>
      </c>
      <c r="M45" s="9" t="n"/>
    </row>
    <row r="46">
      <c r="A46" s="18">
        <f>IF('01-Cadastro-Motos'!$A46="","",'01-Cadastro-Motos'!$A46)</f>
        <v/>
      </c>
      <c r="B46" s="18">
        <f>IF($A46="","",IFERROR(INDEX('01-Cadastro-Motos'!$B$4:$B$123,MATCH($A46,'01-Cadastro-Motos'!$A$4:$A$123,0)),""))</f>
        <v/>
      </c>
      <c r="C46" s="15">
        <f>IF($A46="","",IFERROR(INDEX('01-Cadastro-Motos'!$I$4:$I$123,MATCH($A46,'01-Cadastro-Motos'!$A$4:$A$123,0)),""))</f>
        <v/>
      </c>
      <c r="D46" s="15">
        <f>IF($A46="","",IFERROR(INDEX('02-Custos-Diretos'!$J$4:$J$123,MATCH($A46,'02-Custos-Diretos'!$A$4:$A$123,0)),0))</f>
        <v/>
      </c>
      <c r="E46" s="15">
        <f>IF($A46="","",$C46*'00-Parametros'!$C$13*('00-Parametros'!$C$15/30))</f>
        <v/>
      </c>
      <c r="F46" s="15">
        <f>IF($A46="","",'00-Parametros'!$C$16)</f>
        <v/>
      </c>
      <c r="G46" s="15">
        <f>IF($A46="","",SUM(C46:F46))</f>
        <v/>
      </c>
      <c r="H46" s="21">
        <f>IF($A46="","",$G46/(1-(('00-Parametros'!$C$9+'00-Parametros'!$C$10+'00-Parametros'!$C$11+'00-Parametros'!$C$12)+'00-Parametros'!$C$5)))</f>
        <v/>
      </c>
      <c r="I46" s="21">
        <f>IF($A46="","",$G46/(1-(('00-Parametros'!$C$9+'00-Parametros'!$C$10+'00-Parametros'!$C$11+'00-Parametros'!$C$12)+'00-Parametros'!$C$6)))</f>
        <v/>
      </c>
      <c r="J46" s="21">
        <f>IF($A46="","",$G46/(1-(('00-Parametros'!$C$9+'00-Parametros'!$C$10+'00-Parametros'!$C$11+'00-Parametros'!$C$12)+'00-Parametros'!$C$7)))</f>
        <v/>
      </c>
      <c r="K46" s="21">
        <f>IF($A46="","",$G46/(1-(('00-Parametros'!$C$9+'00-Parametros'!$C$10+'00-Parametros'!$C$11+'00-Parametros'!$C$12)+'00-Parametros'!$C$8)))</f>
        <v/>
      </c>
      <c r="L46" s="19">
        <f>IF(OR($A46="",$M46="",$M46=0),"",$I46/$M46)</f>
        <v/>
      </c>
      <c r="M46" s="9" t="n"/>
    </row>
    <row r="47">
      <c r="A47" s="18">
        <f>IF('01-Cadastro-Motos'!$A47="","",'01-Cadastro-Motos'!$A47)</f>
        <v/>
      </c>
      <c r="B47" s="18">
        <f>IF($A47="","",IFERROR(INDEX('01-Cadastro-Motos'!$B$4:$B$123,MATCH($A47,'01-Cadastro-Motos'!$A$4:$A$123,0)),""))</f>
        <v/>
      </c>
      <c r="C47" s="15">
        <f>IF($A47="","",IFERROR(INDEX('01-Cadastro-Motos'!$I$4:$I$123,MATCH($A47,'01-Cadastro-Motos'!$A$4:$A$123,0)),""))</f>
        <v/>
      </c>
      <c r="D47" s="15">
        <f>IF($A47="","",IFERROR(INDEX('02-Custos-Diretos'!$J$4:$J$123,MATCH($A47,'02-Custos-Diretos'!$A$4:$A$123,0)),0))</f>
        <v/>
      </c>
      <c r="E47" s="15">
        <f>IF($A47="","",$C47*'00-Parametros'!$C$13*('00-Parametros'!$C$15/30))</f>
        <v/>
      </c>
      <c r="F47" s="15">
        <f>IF($A47="","",'00-Parametros'!$C$16)</f>
        <v/>
      </c>
      <c r="G47" s="15">
        <f>IF($A47="","",SUM(C47:F47))</f>
        <v/>
      </c>
      <c r="H47" s="21">
        <f>IF($A47="","",$G47/(1-(('00-Parametros'!$C$9+'00-Parametros'!$C$10+'00-Parametros'!$C$11+'00-Parametros'!$C$12)+'00-Parametros'!$C$5)))</f>
        <v/>
      </c>
      <c r="I47" s="21">
        <f>IF($A47="","",$G47/(1-(('00-Parametros'!$C$9+'00-Parametros'!$C$10+'00-Parametros'!$C$11+'00-Parametros'!$C$12)+'00-Parametros'!$C$6)))</f>
        <v/>
      </c>
      <c r="J47" s="21">
        <f>IF($A47="","",$G47/(1-(('00-Parametros'!$C$9+'00-Parametros'!$C$10+'00-Parametros'!$C$11+'00-Parametros'!$C$12)+'00-Parametros'!$C$7)))</f>
        <v/>
      </c>
      <c r="K47" s="21">
        <f>IF($A47="","",$G47/(1-(('00-Parametros'!$C$9+'00-Parametros'!$C$10+'00-Parametros'!$C$11+'00-Parametros'!$C$12)+'00-Parametros'!$C$8)))</f>
        <v/>
      </c>
      <c r="L47" s="19">
        <f>IF(OR($A47="",$M47="",$M47=0),"",$I47/$M47)</f>
        <v/>
      </c>
      <c r="M47" s="9" t="n"/>
    </row>
    <row r="48">
      <c r="A48" s="18">
        <f>IF('01-Cadastro-Motos'!$A48="","",'01-Cadastro-Motos'!$A48)</f>
        <v/>
      </c>
      <c r="B48" s="18">
        <f>IF($A48="","",IFERROR(INDEX('01-Cadastro-Motos'!$B$4:$B$123,MATCH($A48,'01-Cadastro-Motos'!$A$4:$A$123,0)),""))</f>
        <v/>
      </c>
      <c r="C48" s="15">
        <f>IF($A48="","",IFERROR(INDEX('01-Cadastro-Motos'!$I$4:$I$123,MATCH($A48,'01-Cadastro-Motos'!$A$4:$A$123,0)),""))</f>
        <v/>
      </c>
      <c r="D48" s="15">
        <f>IF($A48="","",IFERROR(INDEX('02-Custos-Diretos'!$J$4:$J$123,MATCH($A48,'02-Custos-Diretos'!$A$4:$A$123,0)),0))</f>
        <v/>
      </c>
      <c r="E48" s="15">
        <f>IF($A48="","",$C48*'00-Parametros'!$C$13*('00-Parametros'!$C$15/30))</f>
        <v/>
      </c>
      <c r="F48" s="15">
        <f>IF($A48="","",'00-Parametros'!$C$16)</f>
        <v/>
      </c>
      <c r="G48" s="15">
        <f>IF($A48="","",SUM(C48:F48))</f>
        <v/>
      </c>
      <c r="H48" s="21">
        <f>IF($A48="","",$G48/(1-(('00-Parametros'!$C$9+'00-Parametros'!$C$10+'00-Parametros'!$C$11+'00-Parametros'!$C$12)+'00-Parametros'!$C$5)))</f>
        <v/>
      </c>
      <c r="I48" s="21">
        <f>IF($A48="","",$G48/(1-(('00-Parametros'!$C$9+'00-Parametros'!$C$10+'00-Parametros'!$C$11+'00-Parametros'!$C$12)+'00-Parametros'!$C$6)))</f>
        <v/>
      </c>
      <c r="J48" s="21">
        <f>IF($A48="","",$G48/(1-(('00-Parametros'!$C$9+'00-Parametros'!$C$10+'00-Parametros'!$C$11+'00-Parametros'!$C$12)+'00-Parametros'!$C$7)))</f>
        <v/>
      </c>
      <c r="K48" s="21">
        <f>IF($A48="","",$G48/(1-(('00-Parametros'!$C$9+'00-Parametros'!$C$10+'00-Parametros'!$C$11+'00-Parametros'!$C$12)+'00-Parametros'!$C$8)))</f>
        <v/>
      </c>
      <c r="L48" s="19">
        <f>IF(OR($A48="",$M48="",$M48=0),"",$I48/$M48)</f>
        <v/>
      </c>
      <c r="M48" s="9" t="n"/>
    </row>
    <row r="49">
      <c r="A49" s="18">
        <f>IF('01-Cadastro-Motos'!$A49="","",'01-Cadastro-Motos'!$A49)</f>
        <v/>
      </c>
      <c r="B49" s="18">
        <f>IF($A49="","",IFERROR(INDEX('01-Cadastro-Motos'!$B$4:$B$123,MATCH($A49,'01-Cadastro-Motos'!$A$4:$A$123,0)),""))</f>
        <v/>
      </c>
      <c r="C49" s="15">
        <f>IF($A49="","",IFERROR(INDEX('01-Cadastro-Motos'!$I$4:$I$123,MATCH($A49,'01-Cadastro-Motos'!$A$4:$A$123,0)),""))</f>
        <v/>
      </c>
      <c r="D49" s="15">
        <f>IF($A49="","",IFERROR(INDEX('02-Custos-Diretos'!$J$4:$J$123,MATCH($A49,'02-Custos-Diretos'!$A$4:$A$123,0)),0))</f>
        <v/>
      </c>
      <c r="E49" s="15">
        <f>IF($A49="","",$C49*'00-Parametros'!$C$13*('00-Parametros'!$C$15/30))</f>
        <v/>
      </c>
      <c r="F49" s="15">
        <f>IF($A49="","",'00-Parametros'!$C$16)</f>
        <v/>
      </c>
      <c r="G49" s="15">
        <f>IF($A49="","",SUM(C49:F49))</f>
        <v/>
      </c>
      <c r="H49" s="21">
        <f>IF($A49="","",$G49/(1-(('00-Parametros'!$C$9+'00-Parametros'!$C$10+'00-Parametros'!$C$11+'00-Parametros'!$C$12)+'00-Parametros'!$C$5)))</f>
        <v/>
      </c>
      <c r="I49" s="21">
        <f>IF($A49="","",$G49/(1-(('00-Parametros'!$C$9+'00-Parametros'!$C$10+'00-Parametros'!$C$11+'00-Parametros'!$C$12)+'00-Parametros'!$C$6)))</f>
        <v/>
      </c>
      <c r="J49" s="21">
        <f>IF($A49="","",$G49/(1-(('00-Parametros'!$C$9+'00-Parametros'!$C$10+'00-Parametros'!$C$11+'00-Parametros'!$C$12)+'00-Parametros'!$C$7)))</f>
        <v/>
      </c>
      <c r="K49" s="21">
        <f>IF($A49="","",$G49/(1-(('00-Parametros'!$C$9+'00-Parametros'!$C$10+'00-Parametros'!$C$11+'00-Parametros'!$C$12)+'00-Parametros'!$C$8)))</f>
        <v/>
      </c>
      <c r="L49" s="19">
        <f>IF(OR($A49="",$M49="",$M49=0),"",$I49/$M49)</f>
        <v/>
      </c>
      <c r="M49" s="9" t="n"/>
    </row>
    <row r="50">
      <c r="A50" s="18">
        <f>IF('01-Cadastro-Motos'!$A50="","",'01-Cadastro-Motos'!$A50)</f>
        <v/>
      </c>
      <c r="B50" s="18">
        <f>IF($A50="","",IFERROR(INDEX('01-Cadastro-Motos'!$B$4:$B$123,MATCH($A50,'01-Cadastro-Motos'!$A$4:$A$123,0)),""))</f>
        <v/>
      </c>
      <c r="C50" s="15">
        <f>IF($A50="","",IFERROR(INDEX('01-Cadastro-Motos'!$I$4:$I$123,MATCH($A50,'01-Cadastro-Motos'!$A$4:$A$123,0)),""))</f>
        <v/>
      </c>
      <c r="D50" s="15">
        <f>IF($A50="","",IFERROR(INDEX('02-Custos-Diretos'!$J$4:$J$123,MATCH($A50,'02-Custos-Diretos'!$A$4:$A$123,0)),0))</f>
        <v/>
      </c>
      <c r="E50" s="15">
        <f>IF($A50="","",$C50*'00-Parametros'!$C$13*('00-Parametros'!$C$15/30))</f>
        <v/>
      </c>
      <c r="F50" s="15">
        <f>IF($A50="","",'00-Parametros'!$C$16)</f>
        <v/>
      </c>
      <c r="G50" s="15">
        <f>IF($A50="","",SUM(C50:F50))</f>
        <v/>
      </c>
      <c r="H50" s="21">
        <f>IF($A50="","",$G50/(1-(('00-Parametros'!$C$9+'00-Parametros'!$C$10+'00-Parametros'!$C$11+'00-Parametros'!$C$12)+'00-Parametros'!$C$5)))</f>
        <v/>
      </c>
      <c r="I50" s="21">
        <f>IF($A50="","",$G50/(1-(('00-Parametros'!$C$9+'00-Parametros'!$C$10+'00-Parametros'!$C$11+'00-Parametros'!$C$12)+'00-Parametros'!$C$6)))</f>
        <v/>
      </c>
      <c r="J50" s="21">
        <f>IF($A50="","",$G50/(1-(('00-Parametros'!$C$9+'00-Parametros'!$C$10+'00-Parametros'!$C$11+'00-Parametros'!$C$12)+'00-Parametros'!$C$7)))</f>
        <v/>
      </c>
      <c r="K50" s="21">
        <f>IF($A50="","",$G50/(1-(('00-Parametros'!$C$9+'00-Parametros'!$C$10+'00-Parametros'!$C$11+'00-Parametros'!$C$12)+'00-Parametros'!$C$8)))</f>
        <v/>
      </c>
      <c r="L50" s="19">
        <f>IF(OR($A50="",$M50="",$M50=0),"",$I50/$M50)</f>
        <v/>
      </c>
      <c r="M50" s="9" t="n"/>
    </row>
    <row r="51">
      <c r="A51" s="18">
        <f>IF('01-Cadastro-Motos'!$A51="","",'01-Cadastro-Motos'!$A51)</f>
        <v/>
      </c>
      <c r="B51" s="18">
        <f>IF($A51="","",IFERROR(INDEX('01-Cadastro-Motos'!$B$4:$B$123,MATCH($A51,'01-Cadastro-Motos'!$A$4:$A$123,0)),""))</f>
        <v/>
      </c>
      <c r="C51" s="15">
        <f>IF($A51="","",IFERROR(INDEX('01-Cadastro-Motos'!$I$4:$I$123,MATCH($A51,'01-Cadastro-Motos'!$A$4:$A$123,0)),""))</f>
        <v/>
      </c>
      <c r="D51" s="15">
        <f>IF($A51="","",IFERROR(INDEX('02-Custos-Diretos'!$J$4:$J$123,MATCH($A51,'02-Custos-Diretos'!$A$4:$A$123,0)),0))</f>
        <v/>
      </c>
      <c r="E51" s="15">
        <f>IF($A51="","",$C51*'00-Parametros'!$C$13*('00-Parametros'!$C$15/30))</f>
        <v/>
      </c>
      <c r="F51" s="15">
        <f>IF($A51="","",'00-Parametros'!$C$16)</f>
        <v/>
      </c>
      <c r="G51" s="15">
        <f>IF($A51="","",SUM(C51:F51))</f>
        <v/>
      </c>
      <c r="H51" s="21">
        <f>IF($A51="","",$G51/(1-(('00-Parametros'!$C$9+'00-Parametros'!$C$10+'00-Parametros'!$C$11+'00-Parametros'!$C$12)+'00-Parametros'!$C$5)))</f>
        <v/>
      </c>
      <c r="I51" s="21">
        <f>IF($A51="","",$G51/(1-(('00-Parametros'!$C$9+'00-Parametros'!$C$10+'00-Parametros'!$C$11+'00-Parametros'!$C$12)+'00-Parametros'!$C$6)))</f>
        <v/>
      </c>
      <c r="J51" s="21">
        <f>IF($A51="","",$G51/(1-(('00-Parametros'!$C$9+'00-Parametros'!$C$10+'00-Parametros'!$C$11+'00-Parametros'!$C$12)+'00-Parametros'!$C$7)))</f>
        <v/>
      </c>
      <c r="K51" s="21">
        <f>IF($A51="","",$G51/(1-(('00-Parametros'!$C$9+'00-Parametros'!$C$10+'00-Parametros'!$C$11+'00-Parametros'!$C$12)+'00-Parametros'!$C$8)))</f>
        <v/>
      </c>
      <c r="L51" s="19">
        <f>IF(OR($A51="",$M51="",$M51=0),"",$I51/$M51)</f>
        <v/>
      </c>
      <c r="M51" s="9" t="n"/>
    </row>
    <row r="52">
      <c r="A52" s="18">
        <f>IF('01-Cadastro-Motos'!$A52="","",'01-Cadastro-Motos'!$A52)</f>
        <v/>
      </c>
      <c r="B52" s="18">
        <f>IF($A52="","",IFERROR(INDEX('01-Cadastro-Motos'!$B$4:$B$123,MATCH($A52,'01-Cadastro-Motos'!$A$4:$A$123,0)),""))</f>
        <v/>
      </c>
      <c r="C52" s="15">
        <f>IF($A52="","",IFERROR(INDEX('01-Cadastro-Motos'!$I$4:$I$123,MATCH($A52,'01-Cadastro-Motos'!$A$4:$A$123,0)),""))</f>
        <v/>
      </c>
      <c r="D52" s="15">
        <f>IF($A52="","",IFERROR(INDEX('02-Custos-Diretos'!$J$4:$J$123,MATCH($A52,'02-Custos-Diretos'!$A$4:$A$123,0)),0))</f>
        <v/>
      </c>
      <c r="E52" s="15">
        <f>IF($A52="","",$C52*'00-Parametros'!$C$13*('00-Parametros'!$C$15/30))</f>
        <v/>
      </c>
      <c r="F52" s="15">
        <f>IF($A52="","",'00-Parametros'!$C$16)</f>
        <v/>
      </c>
      <c r="G52" s="15">
        <f>IF($A52="","",SUM(C52:F52))</f>
        <v/>
      </c>
      <c r="H52" s="21">
        <f>IF($A52="","",$G52/(1-(('00-Parametros'!$C$9+'00-Parametros'!$C$10+'00-Parametros'!$C$11+'00-Parametros'!$C$12)+'00-Parametros'!$C$5)))</f>
        <v/>
      </c>
      <c r="I52" s="21">
        <f>IF($A52="","",$G52/(1-(('00-Parametros'!$C$9+'00-Parametros'!$C$10+'00-Parametros'!$C$11+'00-Parametros'!$C$12)+'00-Parametros'!$C$6)))</f>
        <v/>
      </c>
      <c r="J52" s="21">
        <f>IF($A52="","",$G52/(1-(('00-Parametros'!$C$9+'00-Parametros'!$C$10+'00-Parametros'!$C$11+'00-Parametros'!$C$12)+'00-Parametros'!$C$7)))</f>
        <v/>
      </c>
      <c r="K52" s="21">
        <f>IF($A52="","",$G52/(1-(('00-Parametros'!$C$9+'00-Parametros'!$C$10+'00-Parametros'!$C$11+'00-Parametros'!$C$12)+'00-Parametros'!$C$8)))</f>
        <v/>
      </c>
      <c r="L52" s="19">
        <f>IF(OR($A52="",$M52="",$M52=0),"",$I52/$M52)</f>
        <v/>
      </c>
      <c r="M52" s="9" t="n"/>
    </row>
    <row r="53">
      <c r="A53" s="18">
        <f>IF('01-Cadastro-Motos'!$A53="","",'01-Cadastro-Motos'!$A53)</f>
        <v/>
      </c>
      <c r="B53" s="18">
        <f>IF($A53="","",IFERROR(INDEX('01-Cadastro-Motos'!$B$4:$B$123,MATCH($A53,'01-Cadastro-Motos'!$A$4:$A$123,0)),""))</f>
        <v/>
      </c>
      <c r="C53" s="15">
        <f>IF($A53="","",IFERROR(INDEX('01-Cadastro-Motos'!$I$4:$I$123,MATCH($A53,'01-Cadastro-Motos'!$A$4:$A$123,0)),""))</f>
        <v/>
      </c>
      <c r="D53" s="15">
        <f>IF($A53="","",IFERROR(INDEX('02-Custos-Diretos'!$J$4:$J$123,MATCH($A53,'02-Custos-Diretos'!$A$4:$A$123,0)),0))</f>
        <v/>
      </c>
      <c r="E53" s="15">
        <f>IF($A53="","",$C53*'00-Parametros'!$C$13*('00-Parametros'!$C$15/30))</f>
        <v/>
      </c>
      <c r="F53" s="15">
        <f>IF($A53="","",'00-Parametros'!$C$16)</f>
        <v/>
      </c>
      <c r="G53" s="15">
        <f>IF($A53="","",SUM(C53:F53))</f>
        <v/>
      </c>
      <c r="H53" s="21">
        <f>IF($A53="","",$G53/(1-(('00-Parametros'!$C$9+'00-Parametros'!$C$10+'00-Parametros'!$C$11+'00-Parametros'!$C$12)+'00-Parametros'!$C$5)))</f>
        <v/>
      </c>
      <c r="I53" s="21">
        <f>IF($A53="","",$G53/(1-(('00-Parametros'!$C$9+'00-Parametros'!$C$10+'00-Parametros'!$C$11+'00-Parametros'!$C$12)+'00-Parametros'!$C$6)))</f>
        <v/>
      </c>
      <c r="J53" s="21">
        <f>IF($A53="","",$G53/(1-(('00-Parametros'!$C$9+'00-Parametros'!$C$10+'00-Parametros'!$C$11+'00-Parametros'!$C$12)+'00-Parametros'!$C$7)))</f>
        <v/>
      </c>
      <c r="K53" s="21">
        <f>IF($A53="","",$G53/(1-(('00-Parametros'!$C$9+'00-Parametros'!$C$10+'00-Parametros'!$C$11+'00-Parametros'!$C$12)+'00-Parametros'!$C$8)))</f>
        <v/>
      </c>
      <c r="L53" s="19">
        <f>IF(OR($A53="",$M53="",$M53=0),"",$I53/$M53)</f>
        <v/>
      </c>
      <c r="M53" s="9" t="n"/>
    </row>
    <row r="54">
      <c r="A54" s="18">
        <f>IF('01-Cadastro-Motos'!$A54="","",'01-Cadastro-Motos'!$A54)</f>
        <v/>
      </c>
      <c r="B54" s="18">
        <f>IF($A54="","",IFERROR(INDEX('01-Cadastro-Motos'!$B$4:$B$123,MATCH($A54,'01-Cadastro-Motos'!$A$4:$A$123,0)),""))</f>
        <v/>
      </c>
      <c r="C54" s="15">
        <f>IF($A54="","",IFERROR(INDEX('01-Cadastro-Motos'!$I$4:$I$123,MATCH($A54,'01-Cadastro-Motos'!$A$4:$A$123,0)),""))</f>
        <v/>
      </c>
      <c r="D54" s="15">
        <f>IF($A54="","",IFERROR(INDEX('02-Custos-Diretos'!$J$4:$J$123,MATCH($A54,'02-Custos-Diretos'!$A$4:$A$123,0)),0))</f>
        <v/>
      </c>
      <c r="E54" s="15">
        <f>IF($A54="","",$C54*'00-Parametros'!$C$13*('00-Parametros'!$C$15/30))</f>
        <v/>
      </c>
      <c r="F54" s="15">
        <f>IF($A54="","",'00-Parametros'!$C$16)</f>
        <v/>
      </c>
      <c r="G54" s="15">
        <f>IF($A54="","",SUM(C54:F54))</f>
        <v/>
      </c>
      <c r="H54" s="21">
        <f>IF($A54="","",$G54/(1-(('00-Parametros'!$C$9+'00-Parametros'!$C$10+'00-Parametros'!$C$11+'00-Parametros'!$C$12)+'00-Parametros'!$C$5)))</f>
        <v/>
      </c>
      <c r="I54" s="21">
        <f>IF($A54="","",$G54/(1-(('00-Parametros'!$C$9+'00-Parametros'!$C$10+'00-Parametros'!$C$11+'00-Parametros'!$C$12)+'00-Parametros'!$C$6)))</f>
        <v/>
      </c>
      <c r="J54" s="21">
        <f>IF($A54="","",$G54/(1-(('00-Parametros'!$C$9+'00-Parametros'!$C$10+'00-Parametros'!$C$11+'00-Parametros'!$C$12)+'00-Parametros'!$C$7)))</f>
        <v/>
      </c>
      <c r="K54" s="21">
        <f>IF($A54="","",$G54/(1-(('00-Parametros'!$C$9+'00-Parametros'!$C$10+'00-Parametros'!$C$11+'00-Parametros'!$C$12)+'00-Parametros'!$C$8)))</f>
        <v/>
      </c>
      <c r="L54" s="19">
        <f>IF(OR($A54="",$M54="",$M54=0),"",$I54/$M54)</f>
        <v/>
      </c>
      <c r="M54" s="9" t="n"/>
    </row>
    <row r="55">
      <c r="A55" s="18">
        <f>IF('01-Cadastro-Motos'!$A55="","",'01-Cadastro-Motos'!$A55)</f>
        <v/>
      </c>
      <c r="B55" s="18">
        <f>IF($A55="","",IFERROR(INDEX('01-Cadastro-Motos'!$B$4:$B$123,MATCH($A55,'01-Cadastro-Motos'!$A$4:$A$123,0)),""))</f>
        <v/>
      </c>
      <c r="C55" s="15">
        <f>IF($A55="","",IFERROR(INDEX('01-Cadastro-Motos'!$I$4:$I$123,MATCH($A55,'01-Cadastro-Motos'!$A$4:$A$123,0)),""))</f>
        <v/>
      </c>
      <c r="D55" s="15">
        <f>IF($A55="","",IFERROR(INDEX('02-Custos-Diretos'!$J$4:$J$123,MATCH($A55,'02-Custos-Diretos'!$A$4:$A$123,0)),0))</f>
        <v/>
      </c>
      <c r="E55" s="15">
        <f>IF($A55="","",$C55*'00-Parametros'!$C$13*('00-Parametros'!$C$15/30))</f>
        <v/>
      </c>
      <c r="F55" s="15">
        <f>IF($A55="","",'00-Parametros'!$C$16)</f>
        <v/>
      </c>
      <c r="G55" s="15">
        <f>IF($A55="","",SUM(C55:F55))</f>
        <v/>
      </c>
      <c r="H55" s="21">
        <f>IF($A55="","",$G55/(1-(('00-Parametros'!$C$9+'00-Parametros'!$C$10+'00-Parametros'!$C$11+'00-Parametros'!$C$12)+'00-Parametros'!$C$5)))</f>
        <v/>
      </c>
      <c r="I55" s="21">
        <f>IF($A55="","",$G55/(1-(('00-Parametros'!$C$9+'00-Parametros'!$C$10+'00-Parametros'!$C$11+'00-Parametros'!$C$12)+'00-Parametros'!$C$6)))</f>
        <v/>
      </c>
      <c r="J55" s="21">
        <f>IF($A55="","",$G55/(1-(('00-Parametros'!$C$9+'00-Parametros'!$C$10+'00-Parametros'!$C$11+'00-Parametros'!$C$12)+'00-Parametros'!$C$7)))</f>
        <v/>
      </c>
      <c r="K55" s="21">
        <f>IF($A55="","",$G55/(1-(('00-Parametros'!$C$9+'00-Parametros'!$C$10+'00-Parametros'!$C$11+'00-Parametros'!$C$12)+'00-Parametros'!$C$8)))</f>
        <v/>
      </c>
      <c r="L55" s="19">
        <f>IF(OR($A55="",$M55="",$M55=0),"",$I55/$M55)</f>
        <v/>
      </c>
      <c r="M55" s="9" t="n"/>
    </row>
    <row r="56">
      <c r="A56" s="18">
        <f>IF('01-Cadastro-Motos'!$A56="","",'01-Cadastro-Motos'!$A56)</f>
        <v/>
      </c>
      <c r="B56" s="18">
        <f>IF($A56="","",IFERROR(INDEX('01-Cadastro-Motos'!$B$4:$B$123,MATCH($A56,'01-Cadastro-Motos'!$A$4:$A$123,0)),""))</f>
        <v/>
      </c>
      <c r="C56" s="15">
        <f>IF($A56="","",IFERROR(INDEX('01-Cadastro-Motos'!$I$4:$I$123,MATCH($A56,'01-Cadastro-Motos'!$A$4:$A$123,0)),""))</f>
        <v/>
      </c>
      <c r="D56" s="15">
        <f>IF($A56="","",IFERROR(INDEX('02-Custos-Diretos'!$J$4:$J$123,MATCH($A56,'02-Custos-Diretos'!$A$4:$A$123,0)),0))</f>
        <v/>
      </c>
      <c r="E56" s="15">
        <f>IF($A56="","",$C56*'00-Parametros'!$C$13*('00-Parametros'!$C$15/30))</f>
        <v/>
      </c>
      <c r="F56" s="15">
        <f>IF($A56="","",'00-Parametros'!$C$16)</f>
        <v/>
      </c>
      <c r="G56" s="15">
        <f>IF($A56="","",SUM(C56:F56))</f>
        <v/>
      </c>
      <c r="H56" s="21">
        <f>IF($A56="","",$G56/(1-(('00-Parametros'!$C$9+'00-Parametros'!$C$10+'00-Parametros'!$C$11+'00-Parametros'!$C$12)+'00-Parametros'!$C$5)))</f>
        <v/>
      </c>
      <c r="I56" s="21">
        <f>IF($A56="","",$G56/(1-(('00-Parametros'!$C$9+'00-Parametros'!$C$10+'00-Parametros'!$C$11+'00-Parametros'!$C$12)+'00-Parametros'!$C$6)))</f>
        <v/>
      </c>
      <c r="J56" s="21">
        <f>IF($A56="","",$G56/(1-(('00-Parametros'!$C$9+'00-Parametros'!$C$10+'00-Parametros'!$C$11+'00-Parametros'!$C$12)+'00-Parametros'!$C$7)))</f>
        <v/>
      </c>
      <c r="K56" s="21">
        <f>IF($A56="","",$G56/(1-(('00-Parametros'!$C$9+'00-Parametros'!$C$10+'00-Parametros'!$C$11+'00-Parametros'!$C$12)+'00-Parametros'!$C$8)))</f>
        <v/>
      </c>
      <c r="L56" s="19">
        <f>IF(OR($A56="",$M56="",$M56=0),"",$I56/$M56)</f>
        <v/>
      </c>
      <c r="M56" s="9" t="n"/>
    </row>
    <row r="57">
      <c r="A57" s="18">
        <f>IF('01-Cadastro-Motos'!$A57="","",'01-Cadastro-Motos'!$A57)</f>
        <v/>
      </c>
      <c r="B57" s="18">
        <f>IF($A57="","",IFERROR(INDEX('01-Cadastro-Motos'!$B$4:$B$123,MATCH($A57,'01-Cadastro-Motos'!$A$4:$A$123,0)),""))</f>
        <v/>
      </c>
      <c r="C57" s="15">
        <f>IF($A57="","",IFERROR(INDEX('01-Cadastro-Motos'!$I$4:$I$123,MATCH($A57,'01-Cadastro-Motos'!$A$4:$A$123,0)),""))</f>
        <v/>
      </c>
      <c r="D57" s="15">
        <f>IF($A57="","",IFERROR(INDEX('02-Custos-Diretos'!$J$4:$J$123,MATCH($A57,'02-Custos-Diretos'!$A$4:$A$123,0)),0))</f>
        <v/>
      </c>
      <c r="E57" s="15">
        <f>IF($A57="","",$C57*'00-Parametros'!$C$13*('00-Parametros'!$C$15/30))</f>
        <v/>
      </c>
      <c r="F57" s="15">
        <f>IF($A57="","",'00-Parametros'!$C$16)</f>
        <v/>
      </c>
      <c r="G57" s="15">
        <f>IF($A57="","",SUM(C57:F57))</f>
        <v/>
      </c>
      <c r="H57" s="21">
        <f>IF($A57="","",$G57/(1-(('00-Parametros'!$C$9+'00-Parametros'!$C$10+'00-Parametros'!$C$11+'00-Parametros'!$C$12)+'00-Parametros'!$C$5)))</f>
        <v/>
      </c>
      <c r="I57" s="21">
        <f>IF($A57="","",$G57/(1-(('00-Parametros'!$C$9+'00-Parametros'!$C$10+'00-Parametros'!$C$11+'00-Parametros'!$C$12)+'00-Parametros'!$C$6)))</f>
        <v/>
      </c>
      <c r="J57" s="21">
        <f>IF($A57="","",$G57/(1-(('00-Parametros'!$C$9+'00-Parametros'!$C$10+'00-Parametros'!$C$11+'00-Parametros'!$C$12)+'00-Parametros'!$C$7)))</f>
        <v/>
      </c>
      <c r="K57" s="21">
        <f>IF($A57="","",$G57/(1-(('00-Parametros'!$C$9+'00-Parametros'!$C$10+'00-Parametros'!$C$11+'00-Parametros'!$C$12)+'00-Parametros'!$C$8)))</f>
        <v/>
      </c>
      <c r="L57" s="19">
        <f>IF(OR($A57="",$M57="",$M57=0),"",$I57/$M57)</f>
        <v/>
      </c>
      <c r="M57" s="9" t="n"/>
    </row>
    <row r="58">
      <c r="A58" s="18">
        <f>IF('01-Cadastro-Motos'!$A58="","",'01-Cadastro-Motos'!$A58)</f>
        <v/>
      </c>
      <c r="B58" s="18">
        <f>IF($A58="","",IFERROR(INDEX('01-Cadastro-Motos'!$B$4:$B$123,MATCH($A58,'01-Cadastro-Motos'!$A$4:$A$123,0)),""))</f>
        <v/>
      </c>
      <c r="C58" s="15">
        <f>IF($A58="","",IFERROR(INDEX('01-Cadastro-Motos'!$I$4:$I$123,MATCH($A58,'01-Cadastro-Motos'!$A$4:$A$123,0)),""))</f>
        <v/>
      </c>
      <c r="D58" s="15">
        <f>IF($A58="","",IFERROR(INDEX('02-Custos-Diretos'!$J$4:$J$123,MATCH($A58,'02-Custos-Diretos'!$A$4:$A$123,0)),0))</f>
        <v/>
      </c>
      <c r="E58" s="15">
        <f>IF($A58="","",$C58*'00-Parametros'!$C$13*('00-Parametros'!$C$15/30))</f>
        <v/>
      </c>
      <c r="F58" s="15">
        <f>IF($A58="","",'00-Parametros'!$C$16)</f>
        <v/>
      </c>
      <c r="G58" s="15">
        <f>IF($A58="","",SUM(C58:F58))</f>
        <v/>
      </c>
      <c r="H58" s="21">
        <f>IF($A58="","",$G58/(1-(('00-Parametros'!$C$9+'00-Parametros'!$C$10+'00-Parametros'!$C$11+'00-Parametros'!$C$12)+'00-Parametros'!$C$5)))</f>
        <v/>
      </c>
      <c r="I58" s="21">
        <f>IF($A58="","",$G58/(1-(('00-Parametros'!$C$9+'00-Parametros'!$C$10+'00-Parametros'!$C$11+'00-Parametros'!$C$12)+'00-Parametros'!$C$6)))</f>
        <v/>
      </c>
      <c r="J58" s="21">
        <f>IF($A58="","",$G58/(1-(('00-Parametros'!$C$9+'00-Parametros'!$C$10+'00-Parametros'!$C$11+'00-Parametros'!$C$12)+'00-Parametros'!$C$7)))</f>
        <v/>
      </c>
      <c r="K58" s="21">
        <f>IF($A58="","",$G58/(1-(('00-Parametros'!$C$9+'00-Parametros'!$C$10+'00-Parametros'!$C$11+'00-Parametros'!$C$12)+'00-Parametros'!$C$8)))</f>
        <v/>
      </c>
      <c r="L58" s="19">
        <f>IF(OR($A58="",$M58="",$M58=0),"",$I58/$M58)</f>
        <v/>
      </c>
      <c r="M58" s="9" t="n"/>
    </row>
    <row r="59">
      <c r="A59" s="18">
        <f>IF('01-Cadastro-Motos'!$A59="","",'01-Cadastro-Motos'!$A59)</f>
        <v/>
      </c>
      <c r="B59" s="18">
        <f>IF($A59="","",IFERROR(INDEX('01-Cadastro-Motos'!$B$4:$B$123,MATCH($A59,'01-Cadastro-Motos'!$A$4:$A$123,0)),""))</f>
        <v/>
      </c>
      <c r="C59" s="15">
        <f>IF($A59="","",IFERROR(INDEX('01-Cadastro-Motos'!$I$4:$I$123,MATCH($A59,'01-Cadastro-Motos'!$A$4:$A$123,0)),""))</f>
        <v/>
      </c>
      <c r="D59" s="15">
        <f>IF($A59="","",IFERROR(INDEX('02-Custos-Diretos'!$J$4:$J$123,MATCH($A59,'02-Custos-Diretos'!$A$4:$A$123,0)),0))</f>
        <v/>
      </c>
      <c r="E59" s="15">
        <f>IF($A59="","",$C59*'00-Parametros'!$C$13*('00-Parametros'!$C$15/30))</f>
        <v/>
      </c>
      <c r="F59" s="15">
        <f>IF($A59="","",'00-Parametros'!$C$16)</f>
        <v/>
      </c>
      <c r="G59" s="15">
        <f>IF($A59="","",SUM(C59:F59))</f>
        <v/>
      </c>
      <c r="H59" s="21">
        <f>IF($A59="","",$G59/(1-(('00-Parametros'!$C$9+'00-Parametros'!$C$10+'00-Parametros'!$C$11+'00-Parametros'!$C$12)+'00-Parametros'!$C$5)))</f>
        <v/>
      </c>
      <c r="I59" s="21">
        <f>IF($A59="","",$G59/(1-(('00-Parametros'!$C$9+'00-Parametros'!$C$10+'00-Parametros'!$C$11+'00-Parametros'!$C$12)+'00-Parametros'!$C$6)))</f>
        <v/>
      </c>
      <c r="J59" s="21">
        <f>IF($A59="","",$G59/(1-(('00-Parametros'!$C$9+'00-Parametros'!$C$10+'00-Parametros'!$C$11+'00-Parametros'!$C$12)+'00-Parametros'!$C$7)))</f>
        <v/>
      </c>
      <c r="K59" s="21">
        <f>IF($A59="","",$G59/(1-(('00-Parametros'!$C$9+'00-Parametros'!$C$10+'00-Parametros'!$C$11+'00-Parametros'!$C$12)+'00-Parametros'!$C$8)))</f>
        <v/>
      </c>
      <c r="L59" s="19">
        <f>IF(OR($A59="",$M59="",$M59=0),"",$I59/$M59)</f>
        <v/>
      </c>
      <c r="M59" s="9" t="n"/>
    </row>
    <row r="60">
      <c r="A60" s="18">
        <f>IF('01-Cadastro-Motos'!$A60="","",'01-Cadastro-Motos'!$A60)</f>
        <v/>
      </c>
      <c r="B60" s="18">
        <f>IF($A60="","",IFERROR(INDEX('01-Cadastro-Motos'!$B$4:$B$123,MATCH($A60,'01-Cadastro-Motos'!$A$4:$A$123,0)),""))</f>
        <v/>
      </c>
      <c r="C60" s="15">
        <f>IF($A60="","",IFERROR(INDEX('01-Cadastro-Motos'!$I$4:$I$123,MATCH($A60,'01-Cadastro-Motos'!$A$4:$A$123,0)),""))</f>
        <v/>
      </c>
      <c r="D60" s="15">
        <f>IF($A60="","",IFERROR(INDEX('02-Custos-Diretos'!$J$4:$J$123,MATCH($A60,'02-Custos-Diretos'!$A$4:$A$123,0)),0))</f>
        <v/>
      </c>
      <c r="E60" s="15">
        <f>IF($A60="","",$C60*'00-Parametros'!$C$13*('00-Parametros'!$C$15/30))</f>
        <v/>
      </c>
      <c r="F60" s="15">
        <f>IF($A60="","",'00-Parametros'!$C$16)</f>
        <v/>
      </c>
      <c r="G60" s="15">
        <f>IF($A60="","",SUM(C60:F60))</f>
        <v/>
      </c>
      <c r="H60" s="21">
        <f>IF($A60="","",$G60/(1-(('00-Parametros'!$C$9+'00-Parametros'!$C$10+'00-Parametros'!$C$11+'00-Parametros'!$C$12)+'00-Parametros'!$C$5)))</f>
        <v/>
      </c>
      <c r="I60" s="21">
        <f>IF($A60="","",$G60/(1-(('00-Parametros'!$C$9+'00-Parametros'!$C$10+'00-Parametros'!$C$11+'00-Parametros'!$C$12)+'00-Parametros'!$C$6)))</f>
        <v/>
      </c>
      <c r="J60" s="21">
        <f>IF($A60="","",$G60/(1-(('00-Parametros'!$C$9+'00-Parametros'!$C$10+'00-Parametros'!$C$11+'00-Parametros'!$C$12)+'00-Parametros'!$C$7)))</f>
        <v/>
      </c>
      <c r="K60" s="21">
        <f>IF($A60="","",$G60/(1-(('00-Parametros'!$C$9+'00-Parametros'!$C$10+'00-Parametros'!$C$11+'00-Parametros'!$C$12)+'00-Parametros'!$C$8)))</f>
        <v/>
      </c>
      <c r="L60" s="19">
        <f>IF(OR($A60="",$M60="",$M60=0),"",$I60/$M60)</f>
        <v/>
      </c>
      <c r="M60" s="9" t="n"/>
    </row>
    <row r="61">
      <c r="A61" s="18">
        <f>IF('01-Cadastro-Motos'!$A61="","",'01-Cadastro-Motos'!$A61)</f>
        <v/>
      </c>
      <c r="B61" s="18">
        <f>IF($A61="","",IFERROR(INDEX('01-Cadastro-Motos'!$B$4:$B$123,MATCH($A61,'01-Cadastro-Motos'!$A$4:$A$123,0)),""))</f>
        <v/>
      </c>
      <c r="C61" s="15">
        <f>IF($A61="","",IFERROR(INDEX('01-Cadastro-Motos'!$I$4:$I$123,MATCH($A61,'01-Cadastro-Motos'!$A$4:$A$123,0)),""))</f>
        <v/>
      </c>
      <c r="D61" s="15">
        <f>IF($A61="","",IFERROR(INDEX('02-Custos-Diretos'!$J$4:$J$123,MATCH($A61,'02-Custos-Diretos'!$A$4:$A$123,0)),0))</f>
        <v/>
      </c>
      <c r="E61" s="15">
        <f>IF($A61="","",$C61*'00-Parametros'!$C$13*('00-Parametros'!$C$15/30))</f>
        <v/>
      </c>
      <c r="F61" s="15">
        <f>IF($A61="","",'00-Parametros'!$C$16)</f>
        <v/>
      </c>
      <c r="G61" s="15">
        <f>IF($A61="","",SUM(C61:F61))</f>
        <v/>
      </c>
      <c r="H61" s="21">
        <f>IF($A61="","",$G61/(1-(('00-Parametros'!$C$9+'00-Parametros'!$C$10+'00-Parametros'!$C$11+'00-Parametros'!$C$12)+'00-Parametros'!$C$5)))</f>
        <v/>
      </c>
      <c r="I61" s="21">
        <f>IF($A61="","",$G61/(1-(('00-Parametros'!$C$9+'00-Parametros'!$C$10+'00-Parametros'!$C$11+'00-Parametros'!$C$12)+'00-Parametros'!$C$6)))</f>
        <v/>
      </c>
      <c r="J61" s="21">
        <f>IF($A61="","",$G61/(1-(('00-Parametros'!$C$9+'00-Parametros'!$C$10+'00-Parametros'!$C$11+'00-Parametros'!$C$12)+'00-Parametros'!$C$7)))</f>
        <v/>
      </c>
      <c r="K61" s="21">
        <f>IF($A61="","",$G61/(1-(('00-Parametros'!$C$9+'00-Parametros'!$C$10+'00-Parametros'!$C$11+'00-Parametros'!$C$12)+'00-Parametros'!$C$8)))</f>
        <v/>
      </c>
      <c r="L61" s="19">
        <f>IF(OR($A61="",$M61="",$M61=0),"",$I61/$M61)</f>
        <v/>
      </c>
      <c r="M61" s="9" t="n"/>
    </row>
    <row r="62">
      <c r="A62" s="18">
        <f>IF('01-Cadastro-Motos'!$A62="","",'01-Cadastro-Motos'!$A62)</f>
        <v/>
      </c>
      <c r="B62" s="18">
        <f>IF($A62="","",IFERROR(INDEX('01-Cadastro-Motos'!$B$4:$B$123,MATCH($A62,'01-Cadastro-Motos'!$A$4:$A$123,0)),""))</f>
        <v/>
      </c>
      <c r="C62" s="15">
        <f>IF($A62="","",IFERROR(INDEX('01-Cadastro-Motos'!$I$4:$I$123,MATCH($A62,'01-Cadastro-Motos'!$A$4:$A$123,0)),""))</f>
        <v/>
      </c>
      <c r="D62" s="15">
        <f>IF($A62="","",IFERROR(INDEX('02-Custos-Diretos'!$J$4:$J$123,MATCH($A62,'02-Custos-Diretos'!$A$4:$A$123,0)),0))</f>
        <v/>
      </c>
      <c r="E62" s="15">
        <f>IF($A62="","",$C62*'00-Parametros'!$C$13*('00-Parametros'!$C$15/30))</f>
        <v/>
      </c>
      <c r="F62" s="15">
        <f>IF($A62="","",'00-Parametros'!$C$16)</f>
        <v/>
      </c>
      <c r="G62" s="15">
        <f>IF($A62="","",SUM(C62:F62))</f>
        <v/>
      </c>
      <c r="H62" s="21">
        <f>IF($A62="","",$G62/(1-(('00-Parametros'!$C$9+'00-Parametros'!$C$10+'00-Parametros'!$C$11+'00-Parametros'!$C$12)+'00-Parametros'!$C$5)))</f>
        <v/>
      </c>
      <c r="I62" s="21">
        <f>IF($A62="","",$G62/(1-(('00-Parametros'!$C$9+'00-Parametros'!$C$10+'00-Parametros'!$C$11+'00-Parametros'!$C$12)+'00-Parametros'!$C$6)))</f>
        <v/>
      </c>
      <c r="J62" s="21">
        <f>IF($A62="","",$G62/(1-(('00-Parametros'!$C$9+'00-Parametros'!$C$10+'00-Parametros'!$C$11+'00-Parametros'!$C$12)+'00-Parametros'!$C$7)))</f>
        <v/>
      </c>
      <c r="K62" s="21">
        <f>IF($A62="","",$G62/(1-(('00-Parametros'!$C$9+'00-Parametros'!$C$10+'00-Parametros'!$C$11+'00-Parametros'!$C$12)+'00-Parametros'!$C$8)))</f>
        <v/>
      </c>
      <c r="L62" s="19">
        <f>IF(OR($A62="",$M62="",$M62=0),"",$I62/$M62)</f>
        <v/>
      </c>
      <c r="M62" s="9" t="n"/>
    </row>
    <row r="63">
      <c r="A63" s="18">
        <f>IF('01-Cadastro-Motos'!$A63="","",'01-Cadastro-Motos'!$A63)</f>
        <v/>
      </c>
      <c r="B63" s="18">
        <f>IF($A63="","",IFERROR(INDEX('01-Cadastro-Motos'!$B$4:$B$123,MATCH($A63,'01-Cadastro-Motos'!$A$4:$A$123,0)),""))</f>
        <v/>
      </c>
      <c r="C63" s="15">
        <f>IF($A63="","",IFERROR(INDEX('01-Cadastro-Motos'!$I$4:$I$123,MATCH($A63,'01-Cadastro-Motos'!$A$4:$A$123,0)),""))</f>
        <v/>
      </c>
      <c r="D63" s="15">
        <f>IF($A63="","",IFERROR(INDEX('02-Custos-Diretos'!$J$4:$J$123,MATCH($A63,'02-Custos-Diretos'!$A$4:$A$123,0)),0))</f>
        <v/>
      </c>
      <c r="E63" s="15">
        <f>IF($A63="","",$C63*'00-Parametros'!$C$13*('00-Parametros'!$C$15/30))</f>
        <v/>
      </c>
      <c r="F63" s="15">
        <f>IF($A63="","",'00-Parametros'!$C$16)</f>
        <v/>
      </c>
      <c r="G63" s="15">
        <f>IF($A63="","",SUM(C63:F63))</f>
        <v/>
      </c>
      <c r="H63" s="21">
        <f>IF($A63="","",$G63/(1-(('00-Parametros'!$C$9+'00-Parametros'!$C$10+'00-Parametros'!$C$11+'00-Parametros'!$C$12)+'00-Parametros'!$C$5)))</f>
        <v/>
      </c>
      <c r="I63" s="21">
        <f>IF($A63="","",$G63/(1-(('00-Parametros'!$C$9+'00-Parametros'!$C$10+'00-Parametros'!$C$11+'00-Parametros'!$C$12)+'00-Parametros'!$C$6)))</f>
        <v/>
      </c>
      <c r="J63" s="21">
        <f>IF($A63="","",$G63/(1-(('00-Parametros'!$C$9+'00-Parametros'!$C$10+'00-Parametros'!$C$11+'00-Parametros'!$C$12)+'00-Parametros'!$C$7)))</f>
        <v/>
      </c>
      <c r="K63" s="21">
        <f>IF($A63="","",$G63/(1-(('00-Parametros'!$C$9+'00-Parametros'!$C$10+'00-Parametros'!$C$11+'00-Parametros'!$C$12)+'00-Parametros'!$C$8)))</f>
        <v/>
      </c>
      <c r="L63" s="19">
        <f>IF(OR($A63="",$M63="",$M63=0),"",$I63/$M63)</f>
        <v/>
      </c>
      <c r="M63" s="9" t="n"/>
    </row>
    <row r="64">
      <c r="A64" s="18">
        <f>IF('01-Cadastro-Motos'!$A64="","",'01-Cadastro-Motos'!$A64)</f>
        <v/>
      </c>
      <c r="B64" s="18">
        <f>IF($A64="","",IFERROR(INDEX('01-Cadastro-Motos'!$B$4:$B$123,MATCH($A64,'01-Cadastro-Motos'!$A$4:$A$123,0)),""))</f>
        <v/>
      </c>
      <c r="C64" s="15">
        <f>IF($A64="","",IFERROR(INDEX('01-Cadastro-Motos'!$I$4:$I$123,MATCH($A64,'01-Cadastro-Motos'!$A$4:$A$123,0)),""))</f>
        <v/>
      </c>
      <c r="D64" s="15">
        <f>IF($A64="","",IFERROR(INDEX('02-Custos-Diretos'!$J$4:$J$123,MATCH($A64,'02-Custos-Diretos'!$A$4:$A$123,0)),0))</f>
        <v/>
      </c>
      <c r="E64" s="15">
        <f>IF($A64="","",$C64*'00-Parametros'!$C$13*('00-Parametros'!$C$15/30))</f>
        <v/>
      </c>
      <c r="F64" s="15">
        <f>IF($A64="","",'00-Parametros'!$C$16)</f>
        <v/>
      </c>
      <c r="G64" s="15">
        <f>IF($A64="","",SUM(C64:F64))</f>
        <v/>
      </c>
      <c r="H64" s="21">
        <f>IF($A64="","",$G64/(1-(('00-Parametros'!$C$9+'00-Parametros'!$C$10+'00-Parametros'!$C$11+'00-Parametros'!$C$12)+'00-Parametros'!$C$5)))</f>
        <v/>
      </c>
      <c r="I64" s="21">
        <f>IF($A64="","",$G64/(1-(('00-Parametros'!$C$9+'00-Parametros'!$C$10+'00-Parametros'!$C$11+'00-Parametros'!$C$12)+'00-Parametros'!$C$6)))</f>
        <v/>
      </c>
      <c r="J64" s="21">
        <f>IF($A64="","",$G64/(1-(('00-Parametros'!$C$9+'00-Parametros'!$C$10+'00-Parametros'!$C$11+'00-Parametros'!$C$12)+'00-Parametros'!$C$7)))</f>
        <v/>
      </c>
      <c r="K64" s="21">
        <f>IF($A64="","",$G64/(1-(('00-Parametros'!$C$9+'00-Parametros'!$C$10+'00-Parametros'!$C$11+'00-Parametros'!$C$12)+'00-Parametros'!$C$8)))</f>
        <v/>
      </c>
      <c r="L64" s="19">
        <f>IF(OR($A64="",$M64="",$M64=0),"",$I64/$M64)</f>
        <v/>
      </c>
      <c r="M64" s="9" t="n"/>
    </row>
    <row r="65">
      <c r="A65" s="18">
        <f>IF('01-Cadastro-Motos'!$A65="","",'01-Cadastro-Motos'!$A65)</f>
        <v/>
      </c>
      <c r="B65" s="18">
        <f>IF($A65="","",IFERROR(INDEX('01-Cadastro-Motos'!$B$4:$B$123,MATCH($A65,'01-Cadastro-Motos'!$A$4:$A$123,0)),""))</f>
        <v/>
      </c>
      <c r="C65" s="15">
        <f>IF($A65="","",IFERROR(INDEX('01-Cadastro-Motos'!$I$4:$I$123,MATCH($A65,'01-Cadastro-Motos'!$A$4:$A$123,0)),""))</f>
        <v/>
      </c>
      <c r="D65" s="15">
        <f>IF($A65="","",IFERROR(INDEX('02-Custos-Diretos'!$J$4:$J$123,MATCH($A65,'02-Custos-Diretos'!$A$4:$A$123,0)),0))</f>
        <v/>
      </c>
      <c r="E65" s="15">
        <f>IF($A65="","",$C65*'00-Parametros'!$C$13*('00-Parametros'!$C$15/30))</f>
        <v/>
      </c>
      <c r="F65" s="15">
        <f>IF($A65="","",'00-Parametros'!$C$16)</f>
        <v/>
      </c>
      <c r="G65" s="15">
        <f>IF($A65="","",SUM(C65:F65))</f>
        <v/>
      </c>
      <c r="H65" s="21">
        <f>IF($A65="","",$G65/(1-(('00-Parametros'!$C$9+'00-Parametros'!$C$10+'00-Parametros'!$C$11+'00-Parametros'!$C$12)+'00-Parametros'!$C$5)))</f>
        <v/>
      </c>
      <c r="I65" s="21">
        <f>IF($A65="","",$G65/(1-(('00-Parametros'!$C$9+'00-Parametros'!$C$10+'00-Parametros'!$C$11+'00-Parametros'!$C$12)+'00-Parametros'!$C$6)))</f>
        <v/>
      </c>
      <c r="J65" s="21">
        <f>IF($A65="","",$G65/(1-(('00-Parametros'!$C$9+'00-Parametros'!$C$10+'00-Parametros'!$C$11+'00-Parametros'!$C$12)+'00-Parametros'!$C$7)))</f>
        <v/>
      </c>
      <c r="K65" s="21">
        <f>IF($A65="","",$G65/(1-(('00-Parametros'!$C$9+'00-Parametros'!$C$10+'00-Parametros'!$C$11+'00-Parametros'!$C$12)+'00-Parametros'!$C$8)))</f>
        <v/>
      </c>
      <c r="L65" s="19">
        <f>IF(OR($A65="",$M65="",$M65=0),"",$I65/$M65)</f>
        <v/>
      </c>
      <c r="M65" s="9" t="n"/>
    </row>
    <row r="66">
      <c r="A66" s="18">
        <f>IF('01-Cadastro-Motos'!$A66="","",'01-Cadastro-Motos'!$A66)</f>
        <v/>
      </c>
      <c r="B66" s="18">
        <f>IF($A66="","",IFERROR(INDEX('01-Cadastro-Motos'!$B$4:$B$123,MATCH($A66,'01-Cadastro-Motos'!$A$4:$A$123,0)),""))</f>
        <v/>
      </c>
      <c r="C66" s="15">
        <f>IF($A66="","",IFERROR(INDEX('01-Cadastro-Motos'!$I$4:$I$123,MATCH($A66,'01-Cadastro-Motos'!$A$4:$A$123,0)),""))</f>
        <v/>
      </c>
      <c r="D66" s="15">
        <f>IF($A66="","",IFERROR(INDEX('02-Custos-Diretos'!$J$4:$J$123,MATCH($A66,'02-Custos-Diretos'!$A$4:$A$123,0)),0))</f>
        <v/>
      </c>
      <c r="E66" s="15">
        <f>IF($A66="","",$C66*'00-Parametros'!$C$13*('00-Parametros'!$C$15/30))</f>
        <v/>
      </c>
      <c r="F66" s="15">
        <f>IF($A66="","",'00-Parametros'!$C$16)</f>
        <v/>
      </c>
      <c r="G66" s="15">
        <f>IF($A66="","",SUM(C66:F66))</f>
        <v/>
      </c>
      <c r="H66" s="21">
        <f>IF($A66="","",$G66/(1-(('00-Parametros'!$C$9+'00-Parametros'!$C$10+'00-Parametros'!$C$11+'00-Parametros'!$C$12)+'00-Parametros'!$C$5)))</f>
        <v/>
      </c>
      <c r="I66" s="21">
        <f>IF($A66="","",$G66/(1-(('00-Parametros'!$C$9+'00-Parametros'!$C$10+'00-Parametros'!$C$11+'00-Parametros'!$C$12)+'00-Parametros'!$C$6)))</f>
        <v/>
      </c>
      <c r="J66" s="21">
        <f>IF($A66="","",$G66/(1-(('00-Parametros'!$C$9+'00-Parametros'!$C$10+'00-Parametros'!$C$11+'00-Parametros'!$C$12)+'00-Parametros'!$C$7)))</f>
        <v/>
      </c>
      <c r="K66" s="21">
        <f>IF($A66="","",$G66/(1-(('00-Parametros'!$C$9+'00-Parametros'!$C$10+'00-Parametros'!$C$11+'00-Parametros'!$C$12)+'00-Parametros'!$C$8)))</f>
        <v/>
      </c>
      <c r="L66" s="19">
        <f>IF(OR($A66="",$M66="",$M66=0),"",$I66/$M66)</f>
        <v/>
      </c>
      <c r="M66" s="9" t="n"/>
    </row>
    <row r="67">
      <c r="A67" s="18">
        <f>IF('01-Cadastro-Motos'!$A67="","",'01-Cadastro-Motos'!$A67)</f>
        <v/>
      </c>
      <c r="B67" s="18">
        <f>IF($A67="","",IFERROR(INDEX('01-Cadastro-Motos'!$B$4:$B$123,MATCH($A67,'01-Cadastro-Motos'!$A$4:$A$123,0)),""))</f>
        <v/>
      </c>
      <c r="C67" s="15">
        <f>IF($A67="","",IFERROR(INDEX('01-Cadastro-Motos'!$I$4:$I$123,MATCH($A67,'01-Cadastro-Motos'!$A$4:$A$123,0)),""))</f>
        <v/>
      </c>
      <c r="D67" s="15">
        <f>IF($A67="","",IFERROR(INDEX('02-Custos-Diretos'!$J$4:$J$123,MATCH($A67,'02-Custos-Diretos'!$A$4:$A$123,0)),0))</f>
        <v/>
      </c>
      <c r="E67" s="15">
        <f>IF($A67="","",$C67*'00-Parametros'!$C$13*('00-Parametros'!$C$15/30))</f>
        <v/>
      </c>
      <c r="F67" s="15">
        <f>IF($A67="","",'00-Parametros'!$C$16)</f>
        <v/>
      </c>
      <c r="G67" s="15">
        <f>IF($A67="","",SUM(C67:F67))</f>
        <v/>
      </c>
      <c r="H67" s="21">
        <f>IF($A67="","",$G67/(1-(('00-Parametros'!$C$9+'00-Parametros'!$C$10+'00-Parametros'!$C$11+'00-Parametros'!$C$12)+'00-Parametros'!$C$5)))</f>
        <v/>
      </c>
      <c r="I67" s="21">
        <f>IF($A67="","",$G67/(1-(('00-Parametros'!$C$9+'00-Parametros'!$C$10+'00-Parametros'!$C$11+'00-Parametros'!$C$12)+'00-Parametros'!$C$6)))</f>
        <v/>
      </c>
      <c r="J67" s="21">
        <f>IF($A67="","",$G67/(1-(('00-Parametros'!$C$9+'00-Parametros'!$C$10+'00-Parametros'!$C$11+'00-Parametros'!$C$12)+'00-Parametros'!$C$7)))</f>
        <v/>
      </c>
      <c r="K67" s="21">
        <f>IF($A67="","",$G67/(1-(('00-Parametros'!$C$9+'00-Parametros'!$C$10+'00-Parametros'!$C$11+'00-Parametros'!$C$12)+'00-Parametros'!$C$8)))</f>
        <v/>
      </c>
      <c r="L67" s="19">
        <f>IF(OR($A67="",$M67="",$M67=0),"",$I67/$M67)</f>
        <v/>
      </c>
      <c r="M67" s="9" t="n"/>
    </row>
    <row r="68">
      <c r="A68" s="18">
        <f>IF('01-Cadastro-Motos'!$A68="","",'01-Cadastro-Motos'!$A68)</f>
        <v/>
      </c>
      <c r="B68" s="18">
        <f>IF($A68="","",IFERROR(INDEX('01-Cadastro-Motos'!$B$4:$B$123,MATCH($A68,'01-Cadastro-Motos'!$A$4:$A$123,0)),""))</f>
        <v/>
      </c>
      <c r="C68" s="15">
        <f>IF($A68="","",IFERROR(INDEX('01-Cadastro-Motos'!$I$4:$I$123,MATCH($A68,'01-Cadastro-Motos'!$A$4:$A$123,0)),""))</f>
        <v/>
      </c>
      <c r="D68" s="15">
        <f>IF($A68="","",IFERROR(INDEX('02-Custos-Diretos'!$J$4:$J$123,MATCH($A68,'02-Custos-Diretos'!$A$4:$A$123,0)),0))</f>
        <v/>
      </c>
      <c r="E68" s="15">
        <f>IF($A68="","",$C68*'00-Parametros'!$C$13*('00-Parametros'!$C$15/30))</f>
        <v/>
      </c>
      <c r="F68" s="15">
        <f>IF($A68="","",'00-Parametros'!$C$16)</f>
        <v/>
      </c>
      <c r="G68" s="15">
        <f>IF($A68="","",SUM(C68:F68))</f>
        <v/>
      </c>
      <c r="H68" s="21">
        <f>IF($A68="","",$G68/(1-(('00-Parametros'!$C$9+'00-Parametros'!$C$10+'00-Parametros'!$C$11+'00-Parametros'!$C$12)+'00-Parametros'!$C$5)))</f>
        <v/>
      </c>
      <c r="I68" s="21">
        <f>IF($A68="","",$G68/(1-(('00-Parametros'!$C$9+'00-Parametros'!$C$10+'00-Parametros'!$C$11+'00-Parametros'!$C$12)+'00-Parametros'!$C$6)))</f>
        <v/>
      </c>
      <c r="J68" s="21">
        <f>IF($A68="","",$G68/(1-(('00-Parametros'!$C$9+'00-Parametros'!$C$10+'00-Parametros'!$C$11+'00-Parametros'!$C$12)+'00-Parametros'!$C$7)))</f>
        <v/>
      </c>
      <c r="K68" s="21">
        <f>IF($A68="","",$G68/(1-(('00-Parametros'!$C$9+'00-Parametros'!$C$10+'00-Parametros'!$C$11+'00-Parametros'!$C$12)+'00-Parametros'!$C$8)))</f>
        <v/>
      </c>
      <c r="L68" s="19">
        <f>IF(OR($A68="",$M68="",$M68=0),"",$I68/$M68)</f>
        <v/>
      </c>
      <c r="M68" s="9" t="n"/>
    </row>
    <row r="69">
      <c r="A69" s="18">
        <f>IF('01-Cadastro-Motos'!$A69="","",'01-Cadastro-Motos'!$A69)</f>
        <v/>
      </c>
      <c r="B69" s="18">
        <f>IF($A69="","",IFERROR(INDEX('01-Cadastro-Motos'!$B$4:$B$123,MATCH($A69,'01-Cadastro-Motos'!$A$4:$A$123,0)),""))</f>
        <v/>
      </c>
      <c r="C69" s="15">
        <f>IF($A69="","",IFERROR(INDEX('01-Cadastro-Motos'!$I$4:$I$123,MATCH($A69,'01-Cadastro-Motos'!$A$4:$A$123,0)),""))</f>
        <v/>
      </c>
      <c r="D69" s="15">
        <f>IF($A69="","",IFERROR(INDEX('02-Custos-Diretos'!$J$4:$J$123,MATCH($A69,'02-Custos-Diretos'!$A$4:$A$123,0)),0))</f>
        <v/>
      </c>
      <c r="E69" s="15">
        <f>IF($A69="","",$C69*'00-Parametros'!$C$13*('00-Parametros'!$C$15/30))</f>
        <v/>
      </c>
      <c r="F69" s="15">
        <f>IF($A69="","",'00-Parametros'!$C$16)</f>
        <v/>
      </c>
      <c r="G69" s="15">
        <f>IF($A69="","",SUM(C69:F69))</f>
        <v/>
      </c>
      <c r="H69" s="21">
        <f>IF($A69="","",$G69/(1-(('00-Parametros'!$C$9+'00-Parametros'!$C$10+'00-Parametros'!$C$11+'00-Parametros'!$C$12)+'00-Parametros'!$C$5)))</f>
        <v/>
      </c>
      <c r="I69" s="21">
        <f>IF($A69="","",$G69/(1-(('00-Parametros'!$C$9+'00-Parametros'!$C$10+'00-Parametros'!$C$11+'00-Parametros'!$C$12)+'00-Parametros'!$C$6)))</f>
        <v/>
      </c>
      <c r="J69" s="21">
        <f>IF($A69="","",$G69/(1-(('00-Parametros'!$C$9+'00-Parametros'!$C$10+'00-Parametros'!$C$11+'00-Parametros'!$C$12)+'00-Parametros'!$C$7)))</f>
        <v/>
      </c>
      <c r="K69" s="21">
        <f>IF($A69="","",$G69/(1-(('00-Parametros'!$C$9+'00-Parametros'!$C$10+'00-Parametros'!$C$11+'00-Parametros'!$C$12)+'00-Parametros'!$C$8)))</f>
        <v/>
      </c>
      <c r="L69" s="19">
        <f>IF(OR($A69="",$M69="",$M69=0),"",$I69/$M69)</f>
        <v/>
      </c>
      <c r="M69" s="9" t="n"/>
    </row>
    <row r="70">
      <c r="A70" s="18">
        <f>IF('01-Cadastro-Motos'!$A70="","",'01-Cadastro-Motos'!$A70)</f>
        <v/>
      </c>
      <c r="B70" s="18">
        <f>IF($A70="","",IFERROR(INDEX('01-Cadastro-Motos'!$B$4:$B$123,MATCH($A70,'01-Cadastro-Motos'!$A$4:$A$123,0)),""))</f>
        <v/>
      </c>
      <c r="C70" s="15">
        <f>IF($A70="","",IFERROR(INDEX('01-Cadastro-Motos'!$I$4:$I$123,MATCH($A70,'01-Cadastro-Motos'!$A$4:$A$123,0)),""))</f>
        <v/>
      </c>
      <c r="D70" s="15">
        <f>IF($A70="","",IFERROR(INDEX('02-Custos-Diretos'!$J$4:$J$123,MATCH($A70,'02-Custos-Diretos'!$A$4:$A$123,0)),0))</f>
        <v/>
      </c>
      <c r="E70" s="15">
        <f>IF($A70="","",$C70*'00-Parametros'!$C$13*('00-Parametros'!$C$15/30))</f>
        <v/>
      </c>
      <c r="F70" s="15">
        <f>IF($A70="","",'00-Parametros'!$C$16)</f>
        <v/>
      </c>
      <c r="G70" s="15">
        <f>IF($A70="","",SUM(C70:F70))</f>
        <v/>
      </c>
      <c r="H70" s="21">
        <f>IF($A70="","",$G70/(1-(('00-Parametros'!$C$9+'00-Parametros'!$C$10+'00-Parametros'!$C$11+'00-Parametros'!$C$12)+'00-Parametros'!$C$5)))</f>
        <v/>
      </c>
      <c r="I70" s="21">
        <f>IF($A70="","",$G70/(1-(('00-Parametros'!$C$9+'00-Parametros'!$C$10+'00-Parametros'!$C$11+'00-Parametros'!$C$12)+'00-Parametros'!$C$6)))</f>
        <v/>
      </c>
      <c r="J70" s="21">
        <f>IF($A70="","",$G70/(1-(('00-Parametros'!$C$9+'00-Parametros'!$C$10+'00-Parametros'!$C$11+'00-Parametros'!$C$12)+'00-Parametros'!$C$7)))</f>
        <v/>
      </c>
      <c r="K70" s="21">
        <f>IF($A70="","",$G70/(1-(('00-Parametros'!$C$9+'00-Parametros'!$C$10+'00-Parametros'!$C$11+'00-Parametros'!$C$12)+'00-Parametros'!$C$8)))</f>
        <v/>
      </c>
      <c r="L70" s="19">
        <f>IF(OR($A70="",$M70="",$M70=0),"",$I70/$M70)</f>
        <v/>
      </c>
      <c r="M70" s="9" t="n"/>
    </row>
    <row r="71">
      <c r="A71" s="18">
        <f>IF('01-Cadastro-Motos'!$A71="","",'01-Cadastro-Motos'!$A71)</f>
        <v/>
      </c>
      <c r="B71" s="18">
        <f>IF($A71="","",IFERROR(INDEX('01-Cadastro-Motos'!$B$4:$B$123,MATCH($A71,'01-Cadastro-Motos'!$A$4:$A$123,0)),""))</f>
        <v/>
      </c>
      <c r="C71" s="15">
        <f>IF($A71="","",IFERROR(INDEX('01-Cadastro-Motos'!$I$4:$I$123,MATCH($A71,'01-Cadastro-Motos'!$A$4:$A$123,0)),""))</f>
        <v/>
      </c>
      <c r="D71" s="15">
        <f>IF($A71="","",IFERROR(INDEX('02-Custos-Diretos'!$J$4:$J$123,MATCH($A71,'02-Custos-Diretos'!$A$4:$A$123,0)),0))</f>
        <v/>
      </c>
      <c r="E71" s="15">
        <f>IF($A71="","",$C71*'00-Parametros'!$C$13*('00-Parametros'!$C$15/30))</f>
        <v/>
      </c>
      <c r="F71" s="15">
        <f>IF($A71="","",'00-Parametros'!$C$16)</f>
        <v/>
      </c>
      <c r="G71" s="15">
        <f>IF($A71="","",SUM(C71:F71))</f>
        <v/>
      </c>
      <c r="H71" s="21">
        <f>IF($A71="","",$G71/(1-(('00-Parametros'!$C$9+'00-Parametros'!$C$10+'00-Parametros'!$C$11+'00-Parametros'!$C$12)+'00-Parametros'!$C$5)))</f>
        <v/>
      </c>
      <c r="I71" s="21">
        <f>IF($A71="","",$G71/(1-(('00-Parametros'!$C$9+'00-Parametros'!$C$10+'00-Parametros'!$C$11+'00-Parametros'!$C$12)+'00-Parametros'!$C$6)))</f>
        <v/>
      </c>
      <c r="J71" s="21">
        <f>IF($A71="","",$G71/(1-(('00-Parametros'!$C$9+'00-Parametros'!$C$10+'00-Parametros'!$C$11+'00-Parametros'!$C$12)+'00-Parametros'!$C$7)))</f>
        <v/>
      </c>
      <c r="K71" s="21">
        <f>IF($A71="","",$G71/(1-(('00-Parametros'!$C$9+'00-Parametros'!$C$10+'00-Parametros'!$C$11+'00-Parametros'!$C$12)+'00-Parametros'!$C$8)))</f>
        <v/>
      </c>
      <c r="L71" s="19">
        <f>IF(OR($A71="",$M71="",$M71=0),"",$I71/$M71)</f>
        <v/>
      </c>
      <c r="M71" s="9" t="n"/>
    </row>
    <row r="72">
      <c r="A72" s="18">
        <f>IF('01-Cadastro-Motos'!$A72="","",'01-Cadastro-Motos'!$A72)</f>
        <v/>
      </c>
      <c r="B72" s="18">
        <f>IF($A72="","",IFERROR(INDEX('01-Cadastro-Motos'!$B$4:$B$123,MATCH($A72,'01-Cadastro-Motos'!$A$4:$A$123,0)),""))</f>
        <v/>
      </c>
      <c r="C72" s="15">
        <f>IF($A72="","",IFERROR(INDEX('01-Cadastro-Motos'!$I$4:$I$123,MATCH($A72,'01-Cadastro-Motos'!$A$4:$A$123,0)),""))</f>
        <v/>
      </c>
      <c r="D72" s="15">
        <f>IF($A72="","",IFERROR(INDEX('02-Custos-Diretos'!$J$4:$J$123,MATCH($A72,'02-Custos-Diretos'!$A$4:$A$123,0)),0))</f>
        <v/>
      </c>
      <c r="E72" s="15">
        <f>IF($A72="","",$C72*'00-Parametros'!$C$13*('00-Parametros'!$C$15/30))</f>
        <v/>
      </c>
      <c r="F72" s="15">
        <f>IF($A72="","",'00-Parametros'!$C$16)</f>
        <v/>
      </c>
      <c r="G72" s="15">
        <f>IF($A72="","",SUM(C72:F72))</f>
        <v/>
      </c>
      <c r="H72" s="21">
        <f>IF($A72="","",$G72/(1-(('00-Parametros'!$C$9+'00-Parametros'!$C$10+'00-Parametros'!$C$11+'00-Parametros'!$C$12)+'00-Parametros'!$C$5)))</f>
        <v/>
      </c>
      <c r="I72" s="21">
        <f>IF($A72="","",$G72/(1-(('00-Parametros'!$C$9+'00-Parametros'!$C$10+'00-Parametros'!$C$11+'00-Parametros'!$C$12)+'00-Parametros'!$C$6)))</f>
        <v/>
      </c>
      <c r="J72" s="21">
        <f>IF($A72="","",$G72/(1-(('00-Parametros'!$C$9+'00-Parametros'!$C$10+'00-Parametros'!$C$11+'00-Parametros'!$C$12)+'00-Parametros'!$C$7)))</f>
        <v/>
      </c>
      <c r="K72" s="21">
        <f>IF($A72="","",$G72/(1-(('00-Parametros'!$C$9+'00-Parametros'!$C$10+'00-Parametros'!$C$11+'00-Parametros'!$C$12)+'00-Parametros'!$C$8)))</f>
        <v/>
      </c>
      <c r="L72" s="19">
        <f>IF(OR($A72="",$M72="",$M72=0),"",$I72/$M72)</f>
        <v/>
      </c>
      <c r="M72" s="9" t="n"/>
    </row>
    <row r="73">
      <c r="A73" s="18">
        <f>IF('01-Cadastro-Motos'!$A73="","",'01-Cadastro-Motos'!$A73)</f>
        <v/>
      </c>
      <c r="B73" s="18">
        <f>IF($A73="","",IFERROR(INDEX('01-Cadastro-Motos'!$B$4:$B$123,MATCH($A73,'01-Cadastro-Motos'!$A$4:$A$123,0)),""))</f>
        <v/>
      </c>
      <c r="C73" s="15">
        <f>IF($A73="","",IFERROR(INDEX('01-Cadastro-Motos'!$I$4:$I$123,MATCH($A73,'01-Cadastro-Motos'!$A$4:$A$123,0)),""))</f>
        <v/>
      </c>
      <c r="D73" s="15">
        <f>IF($A73="","",IFERROR(INDEX('02-Custos-Diretos'!$J$4:$J$123,MATCH($A73,'02-Custos-Diretos'!$A$4:$A$123,0)),0))</f>
        <v/>
      </c>
      <c r="E73" s="15">
        <f>IF($A73="","",$C73*'00-Parametros'!$C$13*('00-Parametros'!$C$15/30))</f>
        <v/>
      </c>
      <c r="F73" s="15">
        <f>IF($A73="","",'00-Parametros'!$C$16)</f>
        <v/>
      </c>
      <c r="G73" s="15">
        <f>IF($A73="","",SUM(C73:F73))</f>
        <v/>
      </c>
      <c r="H73" s="21">
        <f>IF($A73="","",$G73/(1-(('00-Parametros'!$C$9+'00-Parametros'!$C$10+'00-Parametros'!$C$11+'00-Parametros'!$C$12)+'00-Parametros'!$C$5)))</f>
        <v/>
      </c>
      <c r="I73" s="21">
        <f>IF($A73="","",$G73/(1-(('00-Parametros'!$C$9+'00-Parametros'!$C$10+'00-Parametros'!$C$11+'00-Parametros'!$C$12)+'00-Parametros'!$C$6)))</f>
        <v/>
      </c>
      <c r="J73" s="21">
        <f>IF($A73="","",$G73/(1-(('00-Parametros'!$C$9+'00-Parametros'!$C$10+'00-Parametros'!$C$11+'00-Parametros'!$C$12)+'00-Parametros'!$C$7)))</f>
        <v/>
      </c>
      <c r="K73" s="21">
        <f>IF($A73="","",$G73/(1-(('00-Parametros'!$C$9+'00-Parametros'!$C$10+'00-Parametros'!$C$11+'00-Parametros'!$C$12)+'00-Parametros'!$C$8)))</f>
        <v/>
      </c>
      <c r="L73" s="19">
        <f>IF(OR($A73="",$M73="",$M73=0),"",$I73/$M73)</f>
        <v/>
      </c>
      <c r="M73" s="9" t="n"/>
    </row>
    <row r="74">
      <c r="A74" s="18">
        <f>IF('01-Cadastro-Motos'!$A74="","",'01-Cadastro-Motos'!$A74)</f>
        <v/>
      </c>
      <c r="B74" s="18">
        <f>IF($A74="","",IFERROR(INDEX('01-Cadastro-Motos'!$B$4:$B$123,MATCH($A74,'01-Cadastro-Motos'!$A$4:$A$123,0)),""))</f>
        <v/>
      </c>
      <c r="C74" s="15">
        <f>IF($A74="","",IFERROR(INDEX('01-Cadastro-Motos'!$I$4:$I$123,MATCH($A74,'01-Cadastro-Motos'!$A$4:$A$123,0)),""))</f>
        <v/>
      </c>
      <c r="D74" s="15">
        <f>IF($A74="","",IFERROR(INDEX('02-Custos-Diretos'!$J$4:$J$123,MATCH($A74,'02-Custos-Diretos'!$A$4:$A$123,0)),0))</f>
        <v/>
      </c>
      <c r="E74" s="15">
        <f>IF($A74="","",$C74*'00-Parametros'!$C$13*('00-Parametros'!$C$15/30))</f>
        <v/>
      </c>
      <c r="F74" s="15">
        <f>IF($A74="","",'00-Parametros'!$C$16)</f>
        <v/>
      </c>
      <c r="G74" s="15">
        <f>IF($A74="","",SUM(C74:F74))</f>
        <v/>
      </c>
      <c r="H74" s="21">
        <f>IF($A74="","",$G74/(1-(('00-Parametros'!$C$9+'00-Parametros'!$C$10+'00-Parametros'!$C$11+'00-Parametros'!$C$12)+'00-Parametros'!$C$5)))</f>
        <v/>
      </c>
      <c r="I74" s="21">
        <f>IF($A74="","",$G74/(1-(('00-Parametros'!$C$9+'00-Parametros'!$C$10+'00-Parametros'!$C$11+'00-Parametros'!$C$12)+'00-Parametros'!$C$6)))</f>
        <v/>
      </c>
      <c r="J74" s="21">
        <f>IF($A74="","",$G74/(1-(('00-Parametros'!$C$9+'00-Parametros'!$C$10+'00-Parametros'!$C$11+'00-Parametros'!$C$12)+'00-Parametros'!$C$7)))</f>
        <v/>
      </c>
      <c r="K74" s="21">
        <f>IF($A74="","",$G74/(1-(('00-Parametros'!$C$9+'00-Parametros'!$C$10+'00-Parametros'!$C$11+'00-Parametros'!$C$12)+'00-Parametros'!$C$8)))</f>
        <v/>
      </c>
      <c r="L74" s="19">
        <f>IF(OR($A74="",$M74="",$M74=0),"",$I74/$M74)</f>
        <v/>
      </c>
      <c r="M74" s="9" t="n"/>
    </row>
    <row r="75">
      <c r="A75" s="18">
        <f>IF('01-Cadastro-Motos'!$A75="","",'01-Cadastro-Motos'!$A75)</f>
        <v/>
      </c>
      <c r="B75" s="18">
        <f>IF($A75="","",IFERROR(INDEX('01-Cadastro-Motos'!$B$4:$B$123,MATCH($A75,'01-Cadastro-Motos'!$A$4:$A$123,0)),""))</f>
        <v/>
      </c>
      <c r="C75" s="15">
        <f>IF($A75="","",IFERROR(INDEX('01-Cadastro-Motos'!$I$4:$I$123,MATCH($A75,'01-Cadastro-Motos'!$A$4:$A$123,0)),""))</f>
        <v/>
      </c>
      <c r="D75" s="15">
        <f>IF($A75="","",IFERROR(INDEX('02-Custos-Diretos'!$J$4:$J$123,MATCH($A75,'02-Custos-Diretos'!$A$4:$A$123,0)),0))</f>
        <v/>
      </c>
      <c r="E75" s="15">
        <f>IF($A75="","",$C75*'00-Parametros'!$C$13*('00-Parametros'!$C$15/30))</f>
        <v/>
      </c>
      <c r="F75" s="15">
        <f>IF($A75="","",'00-Parametros'!$C$16)</f>
        <v/>
      </c>
      <c r="G75" s="15">
        <f>IF($A75="","",SUM(C75:F75))</f>
        <v/>
      </c>
      <c r="H75" s="21">
        <f>IF($A75="","",$G75/(1-(('00-Parametros'!$C$9+'00-Parametros'!$C$10+'00-Parametros'!$C$11+'00-Parametros'!$C$12)+'00-Parametros'!$C$5)))</f>
        <v/>
      </c>
      <c r="I75" s="21">
        <f>IF($A75="","",$G75/(1-(('00-Parametros'!$C$9+'00-Parametros'!$C$10+'00-Parametros'!$C$11+'00-Parametros'!$C$12)+'00-Parametros'!$C$6)))</f>
        <v/>
      </c>
      <c r="J75" s="21">
        <f>IF($A75="","",$G75/(1-(('00-Parametros'!$C$9+'00-Parametros'!$C$10+'00-Parametros'!$C$11+'00-Parametros'!$C$12)+'00-Parametros'!$C$7)))</f>
        <v/>
      </c>
      <c r="K75" s="21">
        <f>IF($A75="","",$G75/(1-(('00-Parametros'!$C$9+'00-Parametros'!$C$10+'00-Parametros'!$C$11+'00-Parametros'!$C$12)+'00-Parametros'!$C$8)))</f>
        <v/>
      </c>
      <c r="L75" s="19">
        <f>IF(OR($A75="",$M75="",$M75=0),"",$I75/$M75)</f>
        <v/>
      </c>
      <c r="M75" s="9" t="n"/>
    </row>
    <row r="76">
      <c r="A76" s="18">
        <f>IF('01-Cadastro-Motos'!$A76="","",'01-Cadastro-Motos'!$A76)</f>
        <v/>
      </c>
      <c r="B76" s="18">
        <f>IF($A76="","",IFERROR(INDEX('01-Cadastro-Motos'!$B$4:$B$123,MATCH($A76,'01-Cadastro-Motos'!$A$4:$A$123,0)),""))</f>
        <v/>
      </c>
      <c r="C76" s="15">
        <f>IF($A76="","",IFERROR(INDEX('01-Cadastro-Motos'!$I$4:$I$123,MATCH($A76,'01-Cadastro-Motos'!$A$4:$A$123,0)),""))</f>
        <v/>
      </c>
      <c r="D76" s="15">
        <f>IF($A76="","",IFERROR(INDEX('02-Custos-Diretos'!$J$4:$J$123,MATCH($A76,'02-Custos-Diretos'!$A$4:$A$123,0)),0))</f>
        <v/>
      </c>
      <c r="E76" s="15">
        <f>IF($A76="","",$C76*'00-Parametros'!$C$13*('00-Parametros'!$C$15/30))</f>
        <v/>
      </c>
      <c r="F76" s="15">
        <f>IF($A76="","",'00-Parametros'!$C$16)</f>
        <v/>
      </c>
      <c r="G76" s="15">
        <f>IF($A76="","",SUM(C76:F76))</f>
        <v/>
      </c>
      <c r="H76" s="21">
        <f>IF($A76="","",$G76/(1-(('00-Parametros'!$C$9+'00-Parametros'!$C$10+'00-Parametros'!$C$11+'00-Parametros'!$C$12)+'00-Parametros'!$C$5)))</f>
        <v/>
      </c>
      <c r="I76" s="21">
        <f>IF($A76="","",$G76/(1-(('00-Parametros'!$C$9+'00-Parametros'!$C$10+'00-Parametros'!$C$11+'00-Parametros'!$C$12)+'00-Parametros'!$C$6)))</f>
        <v/>
      </c>
      <c r="J76" s="21">
        <f>IF($A76="","",$G76/(1-(('00-Parametros'!$C$9+'00-Parametros'!$C$10+'00-Parametros'!$C$11+'00-Parametros'!$C$12)+'00-Parametros'!$C$7)))</f>
        <v/>
      </c>
      <c r="K76" s="21">
        <f>IF($A76="","",$G76/(1-(('00-Parametros'!$C$9+'00-Parametros'!$C$10+'00-Parametros'!$C$11+'00-Parametros'!$C$12)+'00-Parametros'!$C$8)))</f>
        <v/>
      </c>
      <c r="L76" s="19">
        <f>IF(OR($A76="",$M76="",$M76=0),"",$I76/$M76)</f>
        <v/>
      </c>
      <c r="M76" s="9" t="n"/>
    </row>
    <row r="77">
      <c r="A77" s="18">
        <f>IF('01-Cadastro-Motos'!$A77="","",'01-Cadastro-Motos'!$A77)</f>
        <v/>
      </c>
      <c r="B77" s="18">
        <f>IF($A77="","",IFERROR(INDEX('01-Cadastro-Motos'!$B$4:$B$123,MATCH($A77,'01-Cadastro-Motos'!$A$4:$A$123,0)),""))</f>
        <v/>
      </c>
      <c r="C77" s="15">
        <f>IF($A77="","",IFERROR(INDEX('01-Cadastro-Motos'!$I$4:$I$123,MATCH($A77,'01-Cadastro-Motos'!$A$4:$A$123,0)),""))</f>
        <v/>
      </c>
      <c r="D77" s="15">
        <f>IF($A77="","",IFERROR(INDEX('02-Custos-Diretos'!$J$4:$J$123,MATCH($A77,'02-Custos-Diretos'!$A$4:$A$123,0)),0))</f>
        <v/>
      </c>
      <c r="E77" s="15">
        <f>IF($A77="","",$C77*'00-Parametros'!$C$13*('00-Parametros'!$C$15/30))</f>
        <v/>
      </c>
      <c r="F77" s="15">
        <f>IF($A77="","",'00-Parametros'!$C$16)</f>
        <v/>
      </c>
      <c r="G77" s="15">
        <f>IF($A77="","",SUM(C77:F77))</f>
        <v/>
      </c>
      <c r="H77" s="21">
        <f>IF($A77="","",$G77/(1-(('00-Parametros'!$C$9+'00-Parametros'!$C$10+'00-Parametros'!$C$11+'00-Parametros'!$C$12)+'00-Parametros'!$C$5)))</f>
        <v/>
      </c>
      <c r="I77" s="21">
        <f>IF($A77="","",$G77/(1-(('00-Parametros'!$C$9+'00-Parametros'!$C$10+'00-Parametros'!$C$11+'00-Parametros'!$C$12)+'00-Parametros'!$C$6)))</f>
        <v/>
      </c>
      <c r="J77" s="21">
        <f>IF($A77="","",$G77/(1-(('00-Parametros'!$C$9+'00-Parametros'!$C$10+'00-Parametros'!$C$11+'00-Parametros'!$C$12)+'00-Parametros'!$C$7)))</f>
        <v/>
      </c>
      <c r="K77" s="21">
        <f>IF($A77="","",$G77/(1-(('00-Parametros'!$C$9+'00-Parametros'!$C$10+'00-Parametros'!$C$11+'00-Parametros'!$C$12)+'00-Parametros'!$C$8)))</f>
        <v/>
      </c>
      <c r="L77" s="19">
        <f>IF(OR($A77="",$M77="",$M77=0),"",$I77/$M77)</f>
        <v/>
      </c>
      <c r="M77" s="9" t="n"/>
    </row>
    <row r="78">
      <c r="A78" s="18">
        <f>IF('01-Cadastro-Motos'!$A78="","",'01-Cadastro-Motos'!$A78)</f>
        <v/>
      </c>
      <c r="B78" s="18">
        <f>IF($A78="","",IFERROR(INDEX('01-Cadastro-Motos'!$B$4:$B$123,MATCH($A78,'01-Cadastro-Motos'!$A$4:$A$123,0)),""))</f>
        <v/>
      </c>
      <c r="C78" s="15">
        <f>IF($A78="","",IFERROR(INDEX('01-Cadastro-Motos'!$I$4:$I$123,MATCH($A78,'01-Cadastro-Motos'!$A$4:$A$123,0)),""))</f>
        <v/>
      </c>
      <c r="D78" s="15">
        <f>IF($A78="","",IFERROR(INDEX('02-Custos-Diretos'!$J$4:$J$123,MATCH($A78,'02-Custos-Diretos'!$A$4:$A$123,0)),0))</f>
        <v/>
      </c>
      <c r="E78" s="15">
        <f>IF($A78="","",$C78*'00-Parametros'!$C$13*('00-Parametros'!$C$15/30))</f>
        <v/>
      </c>
      <c r="F78" s="15">
        <f>IF($A78="","",'00-Parametros'!$C$16)</f>
        <v/>
      </c>
      <c r="G78" s="15">
        <f>IF($A78="","",SUM(C78:F78))</f>
        <v/>
      </c>
      <c r="H78" s="21">
        <f>IF($A78="","",$G78/(1-(('00-Parametros'!$C$9+'00-Parametros'!$C$10+'00-Parametros'!$C$11+'00-Parametros'!$C$12)+'00-Parametros'!$C$5)))</f>
        <v/>
      </c>
      <c r="I78" s="21">
        <f>IF($A78="","",$G78/(1-(('00-Parametros'!$C$9+'00-Parametros'!$C$10+'00-Parametros'!$C$11+'00-Parametros'!$C$12)+'00-Parametros'!$C$6)))</f>
        <v/>
      </c>
      <c r="J78" s="21">
        <f>IF($A78="","",$G78/(1-(('00-Parametros'!$C$9+'00-Parametros'!$C$10+'00-Parametros'!$C$11+'00-Parametros'!$C$12)+'00-Parametros'!$C$7)))</f>
        <v/>
      </c>
      <c r="K78" s="21">
        <f>IF($A78="","",$G78/(1-(('00-Parametros'!$C$9+'00-Parametros'!$C$10+'00-Parametros'!$C$11+'00-Parametros'!$C$12)+'00-Parametros'!$C$8)))</f>
        <v/>
      </c>
      <c r="L78" s="19">
        <f>IF(OR($A78="",$M78="",$M78=0),"",$I78/$M78)</f>
        <v/>
      </c>
      <c r="M78" s="9" t="n"/>
    </row>
    <row r="79">
      <c r="A79" s="18">
        <f>IF('01-Cadastro-Motos'!$A79="","",'01-Cadastro-Motos'!$A79)</f>
        <v/>
      </c>
      <c r="B79" s="18">
        <f>IF($A79="","",IFERROR(INDEX('01-Cadastro-Motos'!$B$4:$B$123,MATCH($A79,'01-Cadastro-Motos'!$A$4:$A$123,0)),""))</f>
        <v/>
      </c>
      <c r="C79" s="15">
        <f>IF($A79="","",IFERROR(INDEX('01-Cadastro-Motos'!$I$4:$I$123,MATCH($A79,'01-Cadastro-Motos'!$A$4:$A$123,0)),""))</f>
        <v/>
      </c>
      <c r="D79" s="15">
        <f>IF($A79="","",IFERROR(INDEX('02-Custos-Diretos'!$J$4:$J$123,MATCH($A79,'02-Custos-Diretos'!$A$4:$A$123,0)),0))</f>
        <v/>
      </c>
      <c r="E79" s="15">
        <f>IF($A79="","",$C79*'00-Parametros'!$C$13*('00-Parametros'!$C$15/30))</f>
        <v/>
      </c>
      <c r="F79" s="15">
        <f>IF($A79="","",'00-Parametros'!$C$16)</f>
        <v/>
      </c>
      <c r="G79" s="15">
        <f>IF($A79="","",SUM(C79:F79))</f>
        <v/>
      </c>
      <c r="H79" s="21">
        <f>IF($A79="","",$G79/(1-(('00-Parametros'!$C$9+'00-Parametros'!$C$10+'00-Parametros'!$C$11+'00-Parametros'!$C$12)+'00-Parametros'!$C$5)))</f>
        <v/>
      </c>
      <c r="I79" s="21">
        <f>IF($A79="","",$G79/(1-(('00-Parametros'!$C$9+'00-Parametros'!$C$10+'00-Parametros'!$C$11+'00-Parametros'!$C$12)+'00-Parametros'!$C$6)))</f>
        <v/>
      </c>
      <c r="J79" s="21">
        <f>IF($A79="","",$G79/(1-(('00-Parametros'!$C$9+'00-Parametros'!$C$10+'00-Parametros'!$C$11+'00-Parametros'!$C$12)+'00-Parametros'!$C$7)))</f>
        <v/>
      </c>
      <c r="K79" s="21">
        <f>IF($A79="","",$G79/(1-(('00-Parametros'!$C$9+'00-Parametros'!$C$10+'00-Parametros'!$C$11+'00-Parametros'!$C$12)+'00-Parametros'!$C$8)))</f>
        <v/>
      </c>
      <c r="L79" s="19">
        <f>IF(OR($A79="",$M79="",$M79=0),"",$I79/$M79)</f>
        <v/>
      </c>
      <c r="M79" s="9" t="n"/>
    </row>
    <row r="80">
      <c r="A80" s="18">
        <f>IF('01-Cadastro-Motos'!$A80="","",'01-Cadastro-Motos'!$A80)</f>
        <v/>
      </c>
      <c r="B80" s="18">
        <f>IF($A80="","",IFERROR(INDEX('01-Cadastro-Motos'!$B$4:$B$123,MATCH($A80,'01-Cadastro-Motos'!$A$4:$A$123,0)),""))</f>
        <v/>
      </c>
      <c r="C80" s="15">
        <f>IF($A80="","",IFERROR(INDEX('01-Cadastro-Motos'!$I$4:$I$123,MATCH($A80,'01-Cadastro-Motos'!$A$4:$A$123,0)),""))</f>
        <v/>
      </c>
      <c r="D80" s="15">
        <f>IF($A80="","",IFERROR(INDEX('02-Custos-Diretos'!$J$4:$J$123,MATCH($A80,'02-Custos-Diretos'!$A$4:$A$123,0)),0))</f>
        <v/>
      </c>
      <c r="E80" s="15">
        <f>IF($A80="","",$C80*'00-Parametros'!$C$13*('00-Parametros'!$C$15/30))</f>
        <v/>
      </c>
      <c r="F80" s="15">
        <f>IF($A80="","",'00-Parametros'!$C$16)</f>
        <v/>
      </c>
      <c r="G80" s="15">
        <f>IF($A80="","",SUM(C80:F80))</f>
        <v/>
      </c>
      <c r="H80" s="21">
        <f>IF($A80="","",$G80/(1-(('00-Parametros'!$C$9+'00-Parametros'!$C$10+'00-Parametros'!$C$11+'00-Parametros'!$C$12)+'00-Parametros'!$C$5)))</f>
        <v/>
      </c>
      <c r="I80" s="21">
        <f>IF($A80="","",$G80/(1-(('00-Parametros'!$C$9+'00-Parametros'!$C$10+'00-Parametros'!$C$11+'00-Parametros'!$C$12)+'00-Parametros'!$C$6)))</f>
        <v/>
      </c>
      <c r="J80" s="21">
        <f>IF($A80="","",$G80/(1-(('00-Parametros'!$C$9+'00-Parametros'!$C$10+'00-Parametros'!$C$11+'00-Parametros'!$C$12)+'00-Parametros'!$C$7)))</f>
        <v/>
      </c>
      <c r="K80" s="21">
        <f>IF($A80="","",$G80/(1-(('00-Parametros'!$C$9+'00-Parametros'!$C$10+'00-Parametros'!$C$11+'00-Parametros'!$C$12)+'00-Parametros'!$C$8)))</f>
        <v/>
      </c>
      <c r="L80" s="19">
        <f>IF(OR($A80="",$M80="",$M80=0),"",$I80/$M80)</f>
        <v/>
      </c>
      <c r="M80" s="9" t="n"/>
    </row>
    <row r="81">
      <c r="A81" s="18">
        <f>IF('01-Cadastro-Motos'!$A81="","",'01-Cadastro-Motos'!$A81)</f>
        <v/>
      </c>
      <c r="B81" s="18">
        <f>IF($A81="","",IFERROR(INDEX('01-Cadastro-Motos'!$B$4:$B$123,MATCH($A81,'01-Cadastro-Motos'!$A$4:$A$123,0)),""))</f>
        <v/>
      </c>
      <c r="C81" s="15">
        <f>IF($A81="","",IFERROR(INDEX('01-Cadastro-Motos'!$I$4:$I$123,MATCH($A81,'01-Cadastro-Motos'!$A$4:$A$123,0)),""))</f>
        <v/>
      </c>
      <c r="D81" s="15">
        <f>IF($A81="","",IFERROR(INDEX('02-Custos-Diretos'!$J$4:$J$123,MATCH($A81,'02-Custos-Diretos'!$A$4:$A$123,0)),0))</f>
        <v/>
      </c>
      <c r="E81" s="15">
        <f>IF($A81="","",$C81*'00-Parametros'!$C$13*('00-Parametros'!$C$15/30))</f>
        <v/>
      </c>
      <c r="F81" s="15">
        <f>IF($A81="","",'00-Parametros'!$C$16)</f>
        <v/>
      </c>
      <c r="G81" s="15">
        <f>IF($A81="","",SUM(C81:F81))</f>
        <v/>
      </c>
      <c r="H81" s="21">
        <f>IF($A81="","",$G81/(1-(('00-Parametros'!$C$9+'00-Parametros'!$C$10+'00-Parametros'!$C$11+'00-Parametros'!$C$12)+'00-Parametros'!$C$5)))</f>
        <v/>
      </c>
      <c r="I81" s="21">
        <f>IF($A81="","",$G81/(1-(('00-Parametros'!$C$9+'00-Parametros'!$C$10+'00-Parametros'!$C$11+'00-Parametros'!$C$12)+'00-Parametros'!$C$6)))</f>
        <v/>
      </c>
      <c r="J81" s="21">
        <f>IF($A81="","",$G81/(1-(('00-Parametros'!$C$9+'00-Parametros'!$C$10+'00-Parametros'!$C$11+'00-Parametros'!$C$12)+'00-Parametros'!$C$7)))</f>
        <v/>
      </c>
      <c r="K81" s="21">
        <f>IF($A81="","",$G81/(1-(('00-Parametros'!$C$9+'00-Parametros'!$C$10+'00-Parametros'!$C$11+'00-Parametros'!$C$12)+'00-Parametros'!$C$8)))</f>
        <v/>
      </c>
      <c r="L81" s="19">
        <f>IF(OR($A81="",$M81="",$M81=0),"",$I81/$M81)</f>
        <v/>
      </c>
      <c r="M81" s="9" t="n"/>
    </row>
    <row r="82">
      <c r="A82" s="18">
        <f>IF('01-Cadastro-Motos'!$A82="","",'01-Cadastro-Motos'!$A82)</f>
        <v/>
      </c>
      <c r="B82" s="18">
        <f>IF($A82="","",IFERROR(INDEX('01-Cadastro-Motos'!$B$4:$B$123,MATCH($A82,'01-Cadastro-Motos'!$A$4:$A$123,0)),""))</f>
        <v/>
      </c>
      <c r="C82" s="15">
        <f>IF($A82="","",IFERROR(INDEX('01-Cadastro-Motos'!$I$4:$I$123,MATCH($A82,'01-Cadastro-Motos'!$A$4:$A$123,0)),""))</f>
        <v/>
      </c>
      <c r="D82" s="15">
        <f>IF($A82="","",IFERROR(INDEX('02-Custos-Diretos'!$J$4:$J$123,MATCH($A82,'02-Custos-Diretos'!$A$4:$A$123,0)),0))</f>
        <v/>
      </c>
      <c r="E82" s="15">
        <f>IF($A82="","",$C82*'00-Parametros'!$C$13*('00-Parametros'!$C$15/30))</f>
        <v/>
      </c>
      <c r="F82" s="15">
        <f>IF($A82="","",'00-Parametros'!$C$16)</f>
        <v/>
      </c>
      <c r="G82" s="15">
        <f>IF($A82="","",SUM(C82:F82))</f>
        <v/>
      </c>
      <c r="H82" s="21">
        <f>IF($A82="","",$G82/(1-(('00-Parametros'!$C$9+'00-Parametros'!$C$10+'00-Parametros'!$C$11+'00-Parametros'!$C$12)+'00-Parametros'!$C$5)))</f>
        <v/>
      </c>
      <c r="I82" s="21">
        <f>IF($A82="","",$G82/(1-(('00-Parametros'!$C$9+'00-Parametros'!$C$10+'00-Parametros'!$C$11+'00-Parametros'!$C$12)+'00-Parametros'!$C$6)))</f>
        <v/>
      </c>
      <c r="J82" s="21">
        <f>IF($A82="","",$G82/(1-(('00-Parametros'!$C$9+'00-Parametros'!$C$10+'00-Parametros'!$C$11+'00-Parametros'!$C$12)+'00-Parametros'!$C$7)))</f>
        <v/>
      </c>
      <c r="K82" s="21">
        <f>IF($A82="","",$G82/(1-(('00-Parametros'!$C$9+'00-Parametros'!$C$10+'00-Parametros'!$C$11+'00-Parametros'!$C$12)+'00-Parametros'!$C$8)))</f>
        <v/>
      </c>
      <c r="L82" s="19">
        <f>IF(OR($A82="",$M82="",$M82=0),"",$I82/$M82)</f>
        <v/>
      </c>
      <c r="M82" s="9" t="n"/>
    </row>
    <row r="83">
      <c r="A83" s="18">
        <f>IF('01-Cadastro-Motos'!$A83="","",'01-Cadastro-Motos'!$A83)</f>
        <v/>
      </c>
      <c r="B83" s="18">
        <f>IF($A83="","",IFERROR(INDEX('01-Cadastro-Motos'!$B$4:$B$123,MATCH($A83,'01-Cadastro-Motos'!$A$4:$A$123,0)),""))</f>
        <v/>
      </c>
      <c r="C83" s="15">
        <f>IF($A83="","",IFERROR(INDEX('01-Cadastro-Motos'!$I$4:$I$123,MATCH($A83,'01-Cadastro-Motos'!$A$4:$A$123,0)),""))</f>
        <v/>
      </c>
      <c r="D83" s="15">
        <f>IF($A83="","",IFERROR(INDEX('02-Custos-Diretos'!$J$4:$J$123,MATCH($A83,'02-Custos-Diretos'!$A$4:$A$123,0)),0))</f>
        <v/>
      </c>
      <c r="E83" s="15">
        <f>IF($A83="","",$C83*'00-Parametros'!$C$13*('00-Parametros'!$C$15/30))</f>
        <v/>
      </c>
      <c r="F83" s="15">
        <f>IF($A83="","",'00-Parametros'!$C$16)</f>
        <v/>
      </c>
      <c r="G83" s="15">
        <f>IF($A83="","",SUM(C83:F83))</f>
        <v/>
      </c>
      <c r="H83" s="21">
        <f>IF($A83="","",$G83/(1-(('00-Parametros'!$C$9+'00-Parametros'!$C$10+'00-Parametros'!$C$11+'00-Parametros'!$C$12)+'00-Parametros'!$C$5)))</f>
        <v/>
      </c>
      <c r="I83" s="21">
        <f>IF($A83="","",$G83/(1-(('00-Parametros'!$C$9+'00-Parametros'!$C$10+'00-Parametros'!$C$11+'00-Parametros'!$C$12)+'00-Parametros'!$C$6)))</f>
        <v/>
      </c>
      <c r="J83" s="21">
        <f>IF($A83="","",$G83/(1-(('00-Parametros'!$C$9+'00-Parametros'!$C$10+'00-Parametros'!$C$11+'00-Parametros'!$C$12)+'00-Parametros'!$C$7)))</f>
        <v/>
      </c>
      <c r="K83" s="21">
        <f>IF($A83="","",$G83/(1-(('00-Parametros'!$C$9+'00-Parametros'!$C$10+'00-Parametros'!$C$11+'00-Parametros'!$C$12)+'00-Parametros'!$C$8)))</f>
        <v/>
      </c>
      <c r="L83" s="19">
        <f>IF(OR($A83="",$M83="",$M83=0),"",$I83/$M83)</f>
        <v/>
      </c>
      <c r="M83" s="9" t="n"/>
    </row>
    <row r="84">
      <c r="A84" s="18">
        <f>IF('01-Cadastro-Motos'!$A84="","",'01-Cadastro-Motos'!$A84)</f>
        <v/>
      </c>
      <c r="B84" s="18">
        <f>IF($A84="","",IFERROR(INDEX('01-Cadastro-Motos'!$B$4:$B$123,MATCH($A84,'01-Cadastro-Motos'!$A$4:$A$123,0)),""))</f>
        <v/>
      </c>
      <c r="C84" s="15">
        <f>IF($A84="","",IFERROR(INDEX('01-Cadastro-Motos'!$I$4:$I$123,MATCH($A84,'01-Cadastro-Motos'!$A$4:$A$123,0)),""))</f>
        <v/>
      </c>
      <c r="D84" s="15">
        <f>IF($A84="","",IFERROR(INDEX('02-Custos-Diretos'!$J$4:$J$123,MATCH($A84,'02-Custos-Diretos'!$A$4:$A$123,0)),0))</f>
        <v/>
      </c>
      <c r="E84" s="15">
        <f>IF($A84="","",$C84*'00-Parametros'!$C$13*('00-Parametros'!$C$15/30))</f>
        <v/>
      </c>
      <c r="F84" s="15">
        <f>IF($A84="","",'00-Parametros'!$C$16)</f>
        <v/>
      </c>
      <c r="G84" s="15">
        <f>IF($A84="","",SUM(C84:F84))</f>
        <v/>
      </c>
      <c r="H84" s="21">
        <f>IF($A84="","",$G84/(1-(('00-Parametros'!$C$9+'00-Parametros'!$C$10+'00-Parametros'!$C$11+'00-Parametros'!$C$12)+'00-Parametros'!$C$5)))</f>
        <v/>
      </c>
      <c r="I84" s="21">
        <f>IF($A84="","",$G84/(1-(('00-Parametros'!$C$9+'00-Parametros'!$C$10+'00-Parametros'!$C$11+'00-Parametros'!$C$12)+'00-Parametros'!$C$6)))</f>
        <v/>
      </c>
      <c r="J84" s="21">
        <f>IF($A84="","",$G84/(1-(('00-Parametros'!$C$9+'00-Parametros'!$C$10+'00-Parametros'!$C$11+'00-Parametros'!$C$12)+'00-Parametros'!$C$7)))</f>
        <v/>
      </c>
      <c r="K84" s="21">
        <f>IF($A84="","",$G84/(1-(('00-Parametros'!$C$9+'00-Parametros'!$C$10+'00-Parametros'!$C$11+'00-Parametros'!$C$12)+'00-Parametros'!$C$8)))</f>
        <v/>
      </c>
      <c r="L84" s="19">
        <f>IF(OR($A84="",$M84="",$M84=0),"",$I84/$M84)</f>
        <v/>
      </c>
      <c r="M84" s="9" t="n"/>
    </row>
    <row r="85">
      <c r="A85" s="18">
        <f>IF('01-Cadastro-Motos'!$A85="","",'01-Cadastro-Motos'!$A85)</f>
        <v/>
      </c>
      <c r="B85" s="18">
        <f>IF($A85="","",IFERROR(INDEX('01-Cadastro-Motos'!$B$4:$B$123,MATCH($A85,'01-Cadastro-Motos'!$A$4:$A$123,0)),""))</f>
        <v/>
      </c>
      <c r="C85" s="15">
        <f>IF($A85="","",IFERROR(INDEX('01-Cadastro-Motos'!$I$4:$I$123,MATCH($A85,'01-Cadastro-Motos'!$A$4:$A$123,0)),""))</f>
        <v/>
      </c>
      <c r="D85" s="15">
        <f>IF($A85="","",IFERROR(INDEX('02-Custos-Diretos'!$J$4:$J$123,MATCH($A85,'02-Custos-Diretos'!$A$4:$A$123,0)),0))</f>
        <v/>
      </c>
      <c r="E85" s="15">
        <f>IF($A85="","",$C85*'00-Parametros'!$C$13*('00-Parametros'!$C$15/30))</f>
        <v/>
      </c>
      <c r="F85" s="15">
        <f>IF($A85="","",'00-Parametros'!$C$16)</f>
        <v/>
      </c>
      <c r="G85" s="15">
        <f>IF($A85="","",SUM(C85:F85))</f>
        <v/>
      </c>
      <c r="H85" s="21">
        <f>IF($A85="","",$G85/(1-(('00-Parametros'!$C$9+'00-Parametros'!$C$10+'00-Parametros'!$C$11+'00-Parametros'!$C$12)+'00-Parametros'!$C$5)))</f>
        <v/>
      </c>
      <c r="I85" s="21">
        <f>IF($A85="","",$G85/(1-(('00-Parametros'!$C$9+'00-Parametros'!$C$10+'00-Parametros'!$C$11+'00-Parametros'!$C$12)+'00-Parametros'!$C$6)))</f>
        <v/>
      </c>
      <c r="J85" s="21">
        <f>IF($A85="","",$G85/(1-(('00-Parametros'!$C$9+'00-Parametros'!$C$10+'00-Parametros'!$C$11+'00-Parametros'!$C$12)+'00-Parametros'!$C$7)))</f>
        <v/>
      </c>
      <c r="K85" s="21">
        <f>IF($A85="","",$G85/(1-(('00-Parametros'!$C$9+'00-Parametros'!$C$10+'00-Parametros'!$C$11+'00-Parametros'!$C$12)+'00-Parametros'!$C$8)))</f>
        <v/>
      </c>
      <c r="L85" s="19">
        <f>IF(OR($A85="",$M85="",$M85=0),"",$I85/$M85)</f>
        <v/>
      </c>
      <c r="M85" s="9" t="n"/>
    </row>
    <row r="86">
      <c r="A86" s="18">
        <f>IF('01-Cadastro-Motos'!$A86="","",'01-Cadastro-Motos'!$A86)</f>
        <v/>
      </c>
      <c r="B86" s="18">
        <f>IF($A86="","",IFERROR(INDEX('01-Cadastro-Motos'!$B$4:$B$123,MATCH($A86,'01-Cadastro-Motos'!$A$4:$A$123,0)),""))</f>
        <v/>
      </c>
      <c r="C86" s="15">
        <f>IF($A86="","",IFERROR(INDEX('01-Cadastro-Motos'!$I$4:$I$123,MATCH($A86,'01-Cadastro-Motos'!$A$4:$A$123,0)),""))</f>
        <v/>
      </c>
      <c r="D86" s="15">
        <f>IF($A86="","",IFERROR(INDEX('02-Custos-Diretos'!$J$4:$J$123,MATCH($A86,'02-Custos-Diretos'!$A$4:$A$123,0)),0))</f>
        <v/>
      </c>
      <c r="E86" s="15">
        <f>IF($A86="","",$C86*'00-Parametros'!$C$13*('00-Parametros'!$C$15/30))</f>
        <v/>
      </c>
      <c r="F86" s="15">
        <f>IF($A86="","",'00-Parametros'!$C$16)</f>
        <v/>
      </c>
      <c r="G86" s="15">
        <f>IF($A86="","",SUM(C86:F86))</f>
        <v/>
      </c>
      <c r="H86" s="21">
        <f>IF($A86="","",$G86/(1-(('00-Parametros'!$C$9+'00-Parametros'!$C$10+'00-Parametros'!$C$11+'00-Parametros'!$C$12)+'00-Parametros'!$C$5)))</f>
        <v/>
      </c>
      <c r="I86" s="21">
        <f>IF($A86="","",$G86/(1-(('00-Parametros'!$C$9+'00-Parametros'!$C$10+'00-Parametros'!$C$11+'00-Parametros'!$C$12)+'00-Parametros'!$C$6)))</f>
        <v/>
      </c>
      <c r="J86" s="21">
        <f>IF($A86="","",$G86/(1-(('00-Parametros'!$C$9+'00-Parametros'!$C$10+'00-Parametros'!$C$11+'00-Parametros'!$C$12)+'00-Parametros'!$C$7)))</f>
        <v/>
      </c>
      <c r="K86" s="21">
        <f>IF($A86="","",$G86/(1-(('00-Parametros'!$C$9+'00-Parametros'!$C$10+'00-Parametros'!$C$11+'00-Parametros'!$C$12)+'00-Parametros'!$C$8)))</f>
        <v/>
      </c>
      <c r="L86" s="19">
        <f>IF(OR($A86="",$M86="",$M86=0),"",$I86/$M86)</f>
        <v/>
      </c>
      <c r="M86" s="9" t="n"/>
    </row>
    <row r="87">
      <c r="A87" s="18">
        <f>IF('01-Cadastro-Motos'!$A87="","",'01-Cadastro-Motos'!$A87)</f>
        <v/>
      </c>
      <c r="B87" s="18">
        <f>IF($A87="","",IFERROR(INDEX('01-Cadastro-Motos'!$B$4:$B$123,MATCH($A87,'01-Cadastro-Motos'!$A$4:$A$123,0)),""))</f>
        <v/>
      </c>
      <c r="C87" s="15">
        <f>IF($A87="","",IFERROR(INDEX('01-Cadastro-Motos'!$I$4:$I$123,MATCH($A87,'01-Cadastro-Motos'!$A$4:$A$123,0)),""))</f>
        <v/>
      </c>
      <c r="D87" s="15">
        <f>IF($A87="","",IFERROR(INDEX('02-Custos-Diretos'!$J$4:$J$123,MATCH($A87,'02-Custos-Diretos'!$A$4:$A$123,0)),0))</f>
        <v/>
      </c>
      <c r="E87" s="15">
        <f>IF($A87="","",$C87*'00-Parametros'!$C$13*('00-Parametros'!$C$15/30))</f>
        <v/>
      </c>
      <c r="F87" s="15">
        <f>IF($A87="","",'00-Parametros'!$C$16)</f>
        <v/>
      </c>
      <c r="G87" s="15">
        <f>IF($A87="","",SUM(C87:F87))</f>
        <v/>
      </c>
      <c r="H87" s="21">
        <f>IF($A87="","",$G87/(1-(('00-Parametros'!$C$9+'00-Parametros'!$C$10+'00-Parametros'!$C$11+'00-Parametros'!$C$12)+'00-Parametros'!$C$5)))</f>
        <v/>
      </c>
      <c r="I87" s="21">
        <f>IF($A87="","",$G87/(1-(('00-Parametros'!$C$9+'00-Parametros'!$C$10+'00-Parametros'!$C$11+'00-Parametros'!$C$12)+'00-Parametros'!$C$6)))</f>
        <v/>
      </c>
      <c r="J87" s="21">
        <f>IF($A87="","",$G87/(1-(('00-Parametros'!$C$9+'00-Parametros'!$C$10+'00-Parametros'!$C$11+'00-Parametros'!$C$12)+'00-Parametros'!$C$7)))</f>
        <v/>
      </c>
      <c r="K87" s="21">
        <f>IF($A87="","",$G87/(1-(('00-Parametros'!$C$9+'00-Parametros'!$C$10+'00-Parametros'!$C$11+'00-Parametros'!$C$12)+'00-Parametros'!$C$8)))</f>
        <v/>
      </c>
      <c r="L87" s="19">
        <f>IF(OR($A87="",$M87="",$M87=0),"",$I87/$M87)</f>
        <v/>
      </c>
      <c r="M87" s="9" t="n"/>
    </row>
    <row r="88">
      <c r="A88" s="18">
        <f>IF('01-Cadastro-Motos'!$A88="","",'01-Cadastro-Motos'!$A88)</f>
        <v/>
      </c>
      <c r="B88" s="18">
        <f>IF($A88="","",IFERROR(INDEX('01-Cadastro-Motos'!$B$4:$B$123,MATCH($A88,'01-Cadastro-Motos'!$A$4:$A$123,0)),""))</f>
        <v/>
      </c>
      <c r="C88" s="15">
        <f>IF($A88="","",IFERROR(INDEX('01-Cadastro-Motos'!$I$4:$I$123,MATCH($A88,'01-Cadastro-Motos'!$A$4:$A$123,0)),""))</f>
        <v/>
      </c>
      <c r="D88" s="15">
        <f>IF($A88="","",IFERROR(INDEX('02-Custos-Diretos'!$J$4:$J$123,MATCH($A88,'02-Custos-Diretos'!$A$4:$A$123,0)),0))</f>
        <v/>
      </c>
      <c r="E88" s="15">
        <f>IF($A88="","",$C88*'00-Parametros'!$C$13*('00-Parametros'!$C$15/30))</f>
        <v/>
      </c>
      <c r="F88" s="15">
        <f>IF($A88="","",'00-Parametros'!$C$16)</f>
        <v/>
      </c>
      <c r="G88" s="15">
        <f>IF($A88="","",SUM(C88:F88))</f>
        <v/>
      </c>
      <c r="H88" s="21">
        <f>IF($A88="","",$G88/(1-(('00-Parametros'!$C$9+'00-Parametros'!$C$10+'00-Parametros'!$C$11+'00-Parametros'!$C$12)+'00-Parametros'!$C$5)))</f>
        <v/>
      </c>
      <c r="I88" s="21">
        <f>IF($A88="","",$G88/(1-(('00-Parametros'!$C$9+'00-Parametros'!$C$10+'00-Parametros'!$C$11+'00-Parametros'!$C$12)+'00-Parametros'!$C$6)))</f>
        <v/>
      </c>
      <c r="J88" s="21">
        <f>IF($A88="","",$G88/(1-(('00-Parametros'!$C$9+'00-Parametros'!$C$10+'00-Parametros'!$C$11+'00-Parametros'!$C$12)+'00-Parametros'!$C$7)))</f>
        <v/>
      </c>
      <c r="K88" s="21">
        <f>IF($A88="","",$G88/(1-(('00-Parametros'!$C$9+'00-Parametros'!$C$10+'00-Parametros'!$C$11+'00-Parametros'!$C$12)+'00-Parametros'!$C$8)))</f>
        <v/>
      </c>
      <c r="L88" s="19">
        <f>IF(OR($A88="",$M88="",$M88=0),"",$I88/$M88)</f>
        <v/>
      </c>
      <c r="M88" s="9" t="n"/>
    </row>
    <row r="89">
      <c r="A89" s="18">
        <f>IF('01-Cadastro-Motos'!$A89="","",'01-Cadastro-Motos'!$A89)</f>
        <v/>
      </c>
      <c r="B89" s="18">
        <f>IF($A89="","",IFERROR(INDEX('01-Cadastro-Motos'!$B$4:$B$123,MATCH($A89,'01-Cadastro-Motos'!$A$4:$A$123,0)),""))</f>
        <v/>
      </c>
      <c r="C89" s="15">
        <f>IF($A89="","",IFERROR(INDEX('01-Cadastro-Motos'!$I$4:$I$123,MATCH($A89,'01-Cadastro-Motos'!$A$4:$A$123,0)),""))</f>
        <v/>
      </c>
      <c r="D89" s="15">
        <f>IF($A89="","",IFERROR(INDEX('02-Custos-Diretos'!$J$4:$J$123,MATCH($A89,'02-Custos-Diretos'!$A$4:$A$123,0)),0))</f>
        <v/>
      </c>
      <c r="E89" s="15">
        <f>IF($A89="","",$C89*'00-Parametros'!$C$13*('00-Parametros'!$C$15/30))</f>
        <v/>
      </c>
      <c r="F89" s="15">
        <f>IF($A89="","",'00-Parametros'!$C$16)</f>
        <v/>
      </c>
      <c r="G89" s="15">
        <f>IF($A89="","",SUM(C89:F89))</f>
        <v/>
      </c>
      <c r="H89" s="21">
        <f>IF($A89="","",$G89/(1-(('00-Parametros'!$C$9+'00-Parametros'!$C$10+'00-Parametros'!$C$11+'00-Parametros'!$C$12)+'00-Parametros'!$C$5)))</f>
        <v/>
      </c>
      <c r="I89" s="21">
        <f>IF($A89="","",$G89/(1-(('00-Parametros'!$C$9+'00-Parametros'!$C$10+'00-Parametros'!$C$11+'00-Parametros'!$C$12)+'00-Parametros'!$C$6)))</f>
        <v/>
      </c>
      <c r="J89" s="21">
        <f>IF($A89="","",$G89/(1-(('00-Parametros'!$C$9+'00-Parametros'!$C$10+'00-Parametros'!$C$11+'00-Parametros'!$C$12)+'00-Parametros'!$C$7)))</f>
        <v/>
      </c>
      <c r="K89" s="21">
        <f>IF($A89="","",$G89/(1-(('00-Parametros'!$C$9+'00-Parametros'!$C$10+'00-Parametros'!$C$11+'00-Parametros'!$C$12)+'00-Parametros'!$C$8)))</f>
        <v/>
      </c>
      <c r="L89" s="19">
        <f>IF(OR($A89="",$M89="",$M89=0),"",$I89/$M89)</f>
        <v/>
      </c>
      <c r="M89" s="9" t="n"/>
    </row>
    <row r="90">
      <c r="A90" s="18">
        <f>IF('01-Cadastro-Motos'!$A90="","",'01-Cadastro-Motos'!$A90)</f>
        <v/>
      </c>
      <c r="B90" s="18">
        <f>IF($A90="","",IFERROR(INDEX('01-Cadastro-Motos'!$B$4:$B$123,MATCH($A90,'01-Cadastro-Motos'!$A$4:$A$123,0)),""))</f>
        <v/>
      </c>
      <c r="C90" s="15">
        <f>IF($A90="","",IFERROR(INDEX('01-Cadastro-Motos'!$I$4:$I$123,MATCH($A90,'01-Cadastro-Motos'!$A$4:$A$123,0)),""))</f>
        <v/>
      </c>
      <c r="D90" s="15">
        <f>IF($A90="","",IFERROR(INDEX('02-Custos-Diretos'!$J$4:$J$123,MATCH($A90,'02-Custos-Diretos'!$A$4:$A$123,0)),0))</f>
        <v/>
      </c>
      <c r="E90" s="15">
        <f>IF($A90="","",$C90*'00-Parametros'!$C$13*('00-Parametros'!$C$15/30))</f>
        <v/>
      </c>
      <c r="F90" s="15">
        <f>IF($A90="","",'00-Parametros'!$C$16)</f>
        <v/>
      </c>
      <c r="G90" s="15">
        <f>IF($A90="","",SUM(C90:F90))</f>
        <v/>
      </c>
      <c r="H90" s="21">
        <f>IF($A90="","",$G90/(1-(('00-Parametros'!$C$9+'00-Parametros'!$C$10+'00-Parametros'!$C$11+'00-Parametros'!$C$12)+'00-Parametros'!$C$5)))</f>
        <v/>
      </c>
      <c r="I90" s="21">
        <f>IF($A90="","",$G90/(1-(('00-Parametros'!$C$9+'00-Parametros'!$C$10+'00-Parametros'!$C$11+'00-Parametros'!$C$12)+'00-Parametros'!$C$6)))</f>
        <v/>
      </c>
      <c r="J90" s="21">
        <f>IF($A90="","",$G90/(1-(('00-Parametros'!$C$9+'00-Parametros'!$C$10+'00-Parametros'!$C$11+'00-Parametros'!$C$12)+'00-Parametros'!$C$7)))</f>
        <v/>
      </c>
      <c r="K90" s="21">
        <f>IF($A90="","",$G90/(1-(('00-Parametros'!$C$9+'00-Parametros'!$C$10+'00-Parametros'!$C$11+'00-Parametros'!$C$12)+'00-Parametros'!$C$8)))</f>
        <v/>
      </c>
      <c r="L90" s="19">
        <f>IF(OR($A90="",$M90="",$M90=0),"",$I90/$M90)</f>
        <v/>
      </c>
      <c r="M90" s="9" t="n"/>
    </row>
    <row r="91">
      <c r="A91" s="18">
        <f>IF('01-Cadastro-Motos'!$A91="","",'01-Cadastro-Motos'!$A91)</f>
        <v/>
      </c>
      <c r="B91" s="18">
        <f>IF($A91="","",IFERROR(INDEX('01-Cadastro-Motos'!$B$4:$B$123,MATCH($A91,'01-Cadastro-Motos'!$A$4:$A$123,0)),""))</f>
        <v/>
      </c>
      <c r="C91" s="15">
        <f>IF($A91="","",IFERROR(INDEX('01-Cadastro-Motos'!$I$4:$I$123,MATCH($A91,'01-Cadastro-Motos'!$A$4:$A$123,0)),""))</f>
        <v/>
      </c>
      <c r="D91" s="15">
        <f>IF($A91="","",IFERROR(INDEX('02-Custos-Diretos'!$J$4:$J$123,MATCH($A91,'02-Custos-Diretos'!$A$4:$A$123,0)),0))</f>
        <v/>
      </c>
      <c r="E91" s="15">
        <f>IF($A91="","",$C91*'00-Parametros'!$C$13*('00-Parametros'!$C$15/30))</f>
        <v/>
      </c>
      <c r="F91" s="15">
        <f>IF($A91="","",'00-Parametros'!$C$16)</f>
        <v/>
      </c>
      <c r="G91" s="15">
        <f>IF($A91="","",SUM(C91:F91))</f>
        <v/>
      </c>
      <c r="H91" s="21">
        <f>IF($A91="","",$G91/(1-(('00-Parametros'!$C$9+'00-Parametros'!$C$10+'00-Parametros'!$C$11+'00-Parametros'!$C$12)+'00-Parametros'!$C$5)))</f>
        <v/>
      </c>
      <c r="I91" s="21">
        <f>IF($A91="","",$G91/(1-(('00-Parametros'!$C$9+'00-Parametros'!$C$10+'00-Parametros'!$C$11+'00-Parametros'!$C$12)+'00-Parametros'!$C$6)))</f>
        <v/>
      </c>
      <c r="J91" s="21">
        <f>IF($A91="","",$G91/(1-(('00-Parametros'!$C$9+'00-Parametros'!$C$10+'00-Parametros'!$C$11+'00-Parametros'!$C$12)+'00-Parametros'!$C$7)))</f>
        <v/>
      </c>
      <c r="K91" s="21">
        <f>IF($A91="","",$G91/(1-(('00-Parametros'!$C$9+'00-Parametros'!$C$10+'00-Parametros'!$C$11+'00-Parametros'!$C$12)+'00-Parametros'!$C$8)))</f>
        <v/>
      </c>
      <c r="L91" s="19">
        <f>IF(OR($A91="",$M91="",$M91=0),"",$I91/$M91)</f>
        <v/>
      </c>
      <c r="M91" s="9" t="n"/>
    </row>
    <row r="92">
      <c r="A92" s="18">
        <f>IF('01-Cadastro-Motos'!$A92="","",'01-Cadastro-Motos'!$A92)</f>
        <v/>
      </c>
      <c r="B92" s="18">
        <f>IF($A92="","",IFERROR(INDEX('01-Cadastro-Motos'!$B$4:$B$123,MATCH($A92,'01-Cadastro-Motos'!$A$4:$A$123,0)),""))</f>
        <v/>
      </c>
      <c r="C92" s="15">
        <f>IF($A92="","",IFERROR(INDEX('01-Cadastro-Motos'!$I$4:$I$123,MATCH($A92,'01-Cadastro-Motos'!$A$4:$A$123,0)),""))</f>
        <v/>
      </c>
      <c r="D92" s="15">
        <f>IF($A92="","",IFERROR(INDEX('02-Custos-Diretos'!$J$4:$J$123,MATCH($A92,'02-Custos-Diretos'!$A$4:$A$123,0)),0))</f>
        <v/>
      </c>
      <c r="E92" s="15">
        <f>IF($A92="","",$C92*'00-Parametros'!$C$13*('00-Parametros'!$C$15/30))</f>
        <v/>
      </c>
      <c r="F92" s="15">
        <f>IF($A92="","",'00-Parametros'!$C$16)</f>
        <v/>
      </c>
      <c r="G92" s="15">
        <f>IF($A92="","",SUM(C92:F92))</f>
        <v/>
      </c>
      <c r="H92" s="21">
        <f>IF($A92="","",$G92/(1-(('00-Parametros'!$C$9+'00-Parametros'!$C$10+'00-Parametros'!$C$11+'00-Parametros'!$C$12)+'00-Parametros'!$C$5)))</f>
        <v/>
      </c>
      <c r="I92" s="21">
        <f>IF($A92="","",$G92/(1-(('00-Parametros'!$C$9+'00-Parametros'!$C$10+'00-Parametros'!$C$11+'00-Parametros'!$C$12)+'00-Parametros'!$C$6)))</f>
        <v/>
      </c>
      <c r="J92" s="21">
        <f>IF($A92="","",$G92/(1-(('00-Parametros'!$C$9+'00-Parametros'!$C$10+'00-Parametros'!$C$11+'00-Parametros'!$C$12)+'00-Parametros'!$C$7)))</f>
        <v/>
      </c>
      <c r="K92" s="21">
        <f>IF($A92="","",$G92/(1-(('00-Parametros'!$C$9+'00-Parametros'!$C$10+'00-Parametros'!$C$11+'00-Parametros'!$C$12)+'00-Parametros'!$C$8)))</f>
        <v/>
      </c>
      <c r="L92" s="19">
        <f>IF(OR($A92="",$M92="",$M92=0),"",$I92/$M92)</f>
        <v/>
      </c>
      <c r="M92" s="9" t="n"/>
    </row>
    <row r="93">
      <c r="A93" s="18">
        <f>IF('01-Cadastro-Motos'!$A93="","",'01-Cadastro-Motos'!$A93)</f>
        <v/>
      </c>
      <c r="B93" s="18">
        <f>IF($A93="","",IFERROR(INDEX('01-Cadastro-Motos'!$B$4:$B$123,MATCH($A93,'01-Cadastro-Motos'!$A$4:$A$123,0)),""))</f>
        <v/>
      </c>
      <c r="C93" s="15">
        <f>IF($A93="","",IFERROR(INDEX('01-Cadastro-Motos'!$I$4:$I$123,MATCH($A93,'01-Cadastro-Motos'!$A$4:$A$123,0)),""))</f>
        <v/>
      </c>
      <c r="D93" s="15">
        <f>IF($A93="","",IFERROR(INDEX('02-Custos-Diretos'!$J$4:$J$123,MATCH($A93,'02-Custos-Diretos'!$A$4:$A$123,0)),0))</f>
        <v/>
      </c>
      <c r="E93" s="15">
        <f>IF($A93="","",$C93*'00-Parametros'!$C$13*('00-Parametros'!$C$15/30))</f>
        <v/>
      </c>
      <c r="F93" s="15">
        <f>IF($A93="","",'00-Parametros'!$C$16)</f>
        <v/>
      </c>
      <c r="G93" s="15">
        <f>IF($A93="","",SUM(C93:F93))</f>
        <v/>
      </c>
      <c r="H93" s="21">
        <f>IF($A93="","",$G93/(1-(('00-Parametros'!$C$9+'00-Parametros'!$C$10+'00-Parametros'!$C$11+'00-Parametros'!$C$12)+'00-Parametros'!$C$5)))</f>
        <v/>
      </c>
      <c r="I93" s="21">
        <f>IF($A93="","",$G93/(1-(('00-Parametros'!$C$9+'00-Parametros'!$C$10+'00-Parametros'!$C$11+'00-Parametros'!$C$12)+'00-Parametros'!$C$6)))</f>
        <v/>
      </c>
      <c r="J93" s="21">
        <f>IF($A93="","",$G93/(1-(('00-Parametros'!$C$9+'00-Parametros'!$C$10+'00-Parametros'!$C$11+'00-Parametros'!$C$12)+'00-Parametros'!$C$7)))</f>
        <v/>
      </c>
      <c r="K93" s="21">
        <f>IF($A93="","",$G93/(1-(('00-Parametros'!$C$9+'00-Parametros'!$C$10+'00-Parametros'!$C$11+'00-Parametros'!$C$12)+'00-Parametros'!$C$8)))</f>
        <v/>
      </c>
      <c r="L93" s="19">
        <f>IF(OR($A93="",$M93="",$M93=0),"",$I93/$M93)</f>
        <v/>
      </c>
      <c r="M93" s="9" t="n"/>
    </row>
    <row r="94">
      <c r="A94" s="18">
        <f>IF('01-Cadastro-Motos'!$A94="","",'01-Cadastro-Motos'!$A94)</f>
        <v/>
      </c>
      <c r="B94" s="18">
        <f>IF($A94="","",IFERROR(INDEX('01-Cadastro-Motos'!$B$4:$B$123,MATCH($A94,'01-Cadastro-Motos'!$A$4:$A$123,0)),""))</f>
        <v/>
      </c>
      <c r="C94" s="15">
        <f>IF($A94="","",IFERROR(INDEX('01-Cadastro-Motos'!$I$4:$I$123,MATCH($A94,'01-Cadastro-Motos'!$A$4:$A$123,0)),""))</f>
        <v/>
      </c>
      <c r="D94" s="15">
        <f>IF($A94="","",IFERROR(INDEX('02-Custos-Diretos'!$J$4:$J$123,MATCH($A94,'02-Custos-Diretos'!$A$4:$A$123,0)),0))</f>
        <v/>
      </c>
      <c r="E94" s="15">
        <f>IF($A94="","",$C94*'00-Parametros'!$C$13*('00-Parametros'!$C$15/30))</f>
        <v/>
      </c>
      <c r="F94" s="15">
        <f>IF($A94="","",'00-Parametros'!$C$16)</f>
        <v/>
      </c>
      <c r="G94" s="15">
        <f>IF($A94="","",SUM(C94:F94))</f>
        <v/>
      </c>
      <c r="H94" s="21">
        <f>IF($A94="","",$G94/(1-(('00-Parametros'!$C$9+'00-Parametros'!$C$10+'00-Parametros'!$C$11+'00-Parametros'!$C$12)+'00-Parametros'!$C$5)))</f>
        <v/>
      </c>
      <c r="I94" s="21">
        <f>IF($A94="","",$G94/(1-(('00-Parametros'!$C$9+'00-Parametros'!$C$10+'00-Parametros'!$C$11+'00-Parametros'!$C$12)+'00-Parametros'!$C$6)))</f>
        <v/>
      </c>
      <c r="J94" s="21">
        <f>IF($A94="","",$G94/(1-(('00-Parametros'!$C$9+'00-Parametros'!$C$10+'00-Parametros'!$C$11+'00-Parametros'!$C$12)+'00-Parametros'!$C$7)))</f>
        <v/>
      </c>
      <c r="K94" s="21">
        <f>IF($A94="","",$G94/(1-(('00-Parametros'!$C$9+'00-Parametros'!$C$10+'00-Parametros'!$C$11+'00-Parametros'!$C$12)+'00-Parametros'!$C$8)))</f>
        <v/>
      </c>
      <c r="L94" s="19">
        <f>IF(OR($A94="",$M94="",$M94=0),"",$I94/$M94)</f>
        <v/>
      </c>
      <c r="M94" s="9" t="n"/>
    </row>
    <row r="95">
      <c r="A95" s="18">
        <f>IF('01-Cadastro-Motos'!$A95="","",'01-Cadastro-Motos'!$A95)</f>
        <v/>
      </c>
      <c r="B95" s="18">
        <f>IF($A95="","",IFERROR(INDEX('01-Cadastro-Motos'!$B$4:$B$123,MATCH($A95,'01-Cadastro-Motos'!$A$4:$A$123,0)),""))</f>
        <v/>
      </c>
      <c r="C95" s="15">
        <f>IF($A95="","",IFERROR(INDEX('01-Cadastro-Motos'!$I$4:$I$123,MATCH($A95,'01-Cadastro-Motos'!$A$4:$A$123,0)),""))</f>
        <v/>
      </c>
      <c r="D95" s="15">
        <f>IF($A95="","",IFERROR(INDEX('02-Custos-Diretos'!$J$4:$J$123,MATCH($A95,'02-Custos-Diretos'!$A$4:$A$123,0)),0))</f>
        <v/>
      </c>
      <c r="E95" s="15">
        <f>IF($A95="","",$C95*'00-Parametros'!$C$13*('00-Parametros'!$C$15/30))</f>
        <v/>
      </c>
      <c r="F95" s="15">
        <f>IF($A95="","",'00-Parametros'!$C$16)</f>
        <v/>
      </c>
      <c r="G95" s="15">
        <f>IF($A95="","",SUM(C95:F95))</f>
        <v/>
      </c>
      <c r="H95" s="21">
        <f>IF($A95="","",$G95/(1-(('00-Parametros'!$C$9+'00-Parametros'!$C$10+'00-Parametros'!$C$11+'00-Parametros'!$C$12)+'00-Parametros'!$C$5)))</f>
        <v/>
      </c>
      <c r="I95" s="21">
        <f>IF($A95="","",$G95/(1-(('00-Parametros'!$C$9+'00-Parametros'!$C$10+'00-Parametros'!$C$11+'00-Parametros'!$C$12)+'00-Parametros'!$C$6)))</f>
        <v/>
      </c>
      <c r="J95" s="21">
        <f>IF($A95="","",$G95/(1-(('00-Parametros'!$C$9+'00-Parametros'!$C$10+'00-Parametros'!$C$11+'00-Parametros'!$C$12)+'00-Parametros'!$C$7)))</f>
        <v/>
      </c>
      <c r="K95" s="21">
        <f>IF($A95="","",$G95/(1-(('00-Parametros'!$C$9+'00-Parametros'!$C$10+'00-Parametros'!$C$11+'00-Parametros'!$C$12)+'00-Parametros'!$C$8)))</f>
        <v/>
      </c>
      <c r="L95" s="19">
        <f>IF(OR($A95="",$M95="",$M95=0),"",$I95/$M95)</f>
        <v/>
      </c>
      <c r="M95" s="9" t="n"/>
    </row>
    <row r="96">
      <c r="A96" s="18">
        <f>IF('01-Cadastro-Motos'!$A96="","",'01-Cadastro-Motos'!$A96)</f>
        <v/>
      </c>
      <c r="B96" s="18">
        <f>IF($A96="","",IFERROR(INDEX('01-Cadastro-Motos'!$B$4:$B$123,MATCH($A96,'01-Cadastro-Motos'!$A$4:$A$123,0)),""))</f>
        <v/>
      </c>
      <c r="C96" s="15">
        <f>IF($A96="","",IFERROR(INDEX('01-Cadastro-Motos'!$I$4:$I$123,MATCH($A96,'01-Cadastro-Motos'!$A$4:$A$123,0)),""))</f>
        <v/>
      </c>
      <c r="D96" s="15">
        <f>IF($A96="","",IFERROR(INDEX('02-Custos-Diretos'!$J$4:$J$123,MATCH($A96,'02-Custos-Diretos'!$A$4:$A$123,0)),0))</f>
        <v/>
      </c>
      <c r="E96" s="15">
        <f>IF($A96="","",$C96*'00-Parametros'!$C$13*('00-Parametros'!$C$15/30))</f>
        <v/>
      </c>
      <c r="F96" s="15">
        <f>IF($A96="","",'00-Parametros'!$C$16)</f>
        <v/>
      </c>
      <c r="G96" s="15">
        <f>IF($A96="","",SUM(C96:F96))</f>
        <v/>
      </c>
      <c r="H96" s="21">
        <f>IF($A96="","",$G96/(1-(('00-Parametros'!$C$9+'00-Parametros'!$C$10+'00-Parametros'!$C$11+'00-Parametros'!$C$12)+'00-Parametros'!$C$5)))</f>
        <v/>
      </c>
      <c r="I96" s="21">
        <f>IF($A96="","",$G96/(1-(('00-Parametros'!$C$9+'00-Parametros'!$C$10+'00-Parametros'!$C$11+'00-Parametros'!$C$12)+'00-Parametros'!$C$6)))</f>
        <v/>
      </c>
      <c r="J96" s="21">
        <f>IF($A96="","",$G96/(1-(('00-Parametros'!$C$9+'00-Parametros'!$C$10+'00-Parametros'!$C$11+'00-Parametros'!$C$12)+'00-Parametros'!$C$7)))</f>
        <v/>
      </c>
      <c r="K96" s="21">
        <f>IF($A96="","",$G96/(1-(('00-Parametros'!$C$9+'00-Parametros'!$C$10+'00-Parametros'!$C$11+'00-Parametros'!$C$12)+'00-Parametros'!$C$8)))</f>
        <v/>
      </c>
      <c r="L96" s="19">
        <f>IF(OR($A96="",$M96="",$M96=0),"",$I96/$M96)</f>
        <v/>
      </c>
      <c r="M96" s="9" t="n"/>
    </row>
    <row r="97">
      <c r="A97" s="18">
        <f>IF('01-Cadastro-Motos'!$A97="","",'01-Cadastro-Motos'!$A97)</f>
        <v/>
      </c>
      <c r="B97" s="18">
        <f>IF($A97="","",IFERROR(INDEX('01-Cadastro-Motos'!$B$4:$B$123,MATCH($A97,'01-Cadastro-Motos'!$A$4:$A$123,0)),""))</f>
        <v/>
      </c>
      <c r="C97" s="15">
        <f>IF($A97="","",IFERROR(INDEX('01-Cadastro-Motos'!$I$4:$I$123,MATCH($A97,'01-Cadastro-Motos'!$A$4:$A$123,0)),""))</f>
        <v/>
      </c>
      <c r="D97" s="15">
        <f>IF($A97="","",IFERROR(INDEX('02-Custos-Diretos'!$J$4:$J$123,MATCH($A97,'02-Custos-Diretos'!$A$4:$A$123,0)),0))</f>
        <v/>
      </c>
      <c r="E97" s="15">
        <f>IF($A97="","",$C97*'00-Parametros'!$C$13*('00-Parametros'!$C$15/30))</f>
        <v/>
      </c>
      <c r="F97" s="15">
        <f>IF($A97="","",'00-Parametros'!$C$16)</f>
        <v/>
      </c>
      <c r="G97" s="15">
        <f>IF($A97="","",SUM(C97:F97))</f>
        <v/>
      </c>
      <c r="H97" s="21">
        <f>IF($A97="","",$G97/(1-(('00-Parametros'!$C$9+'00-Parametros'!$C$10+'00-Parametros'!$C$11+'00-Parametros'!$C$12)+'00-Parametros'!$C$5)))</f>
        <v/>
      </c>
      <c r="I97" s="21">
        <f>IF($A97="","",$G97/(1-(('00-Parametros'!$C$9+'00-Parametros'!$C$10+'00-Parametros'!$C$11+'00-Parametros'!$C$12)+'00-Parametros'!$C$6)))</f>
        <v/>
      </c>
      <c r="J97" s="21">
        <f>IF($A97="","",$G97/(1-(('00-Parametros'!$C$9+'00-Parametros'!$C$10+'00-Parametros'!$C$11+'00-Parametros'!$C$12)+'00-Parametros'!$C$7)))</f>
        <v/>
      </c>
      <c r="K97" s="21">
        <f>IF($A97="","",$G97/(1-(('00-Parametros'!$C$9+'00-Parametros'!$C$10+'00-Parametros'!$C$11+'00-Parametros'!$C$12)+'00-Parametros'!$C$8)))</f>
        <v/>
      </c>
      <c r="L97" s="19">
        <f>IF(OR($A97="",$M97="",$M97=0),"",$I97/$M97)</f>
        <v/>
      </c>
      <c r="M97" s="9" t="n"/>
    </row>
    <row r="98">
      <c r="A98" s="18">
        <f>IF('01-Cadastro-Motos'!$A98="","",'01-Cadastro-Motos'!$A98)</f>
        <v/>
      </c>
      <c r="B98" s="18">
        <f>IF($A98="","",IFERROR(INDEX('01-Cadastro-Motos'!$B$4:$B$123,MATCH($A98,'01-Cadastro-Motos'!$A$4:$A$123,0)),""))</f>
        <v/>
      </c>
      <c r="C98" s="15">
        <f>IF($A98="","",IFERROR(INDEX('01-Cadastro-Motos'!$I$4:$I$123,MATCH($A98,'01-Cadastro-Motos'!$A$4:$A$123,0)),""))</f>
        <v/>
      </c>
      <c r="D98" s="15">
        <f>IF($A98="","",IFERROR(INDEX('02-Custos-Diretos'!$J$4:$J$123,MATCH($A98,'02-Custos-Diretos'!$A$4:$A$123,0)),0))</f>
        <v/>
      </c>
      <c r="E98" s="15">
        <f>IF($A98="","",$C98*'00-Parametros'!$C$13*('00-Parametros'!$C$15/30))</f>
        <v/>
      </c>
      <c r="F98" s="15">
        <f>IF($A98="","",'00-Parametros'!$C$16)</f>
        <v/>
      </c>
      <c r="G98" s="15">
        <f>IF($A98="","",SUM(C98:F98))</f>
        <v/>
      </c>
      <c r="H98" s="21">
        <f>IF($A98="","",$G98/(1-(('00-Parametros'!$C$9+'00-Parametros'!$C$10+'00-Parametros'!$C$11+'00-Parametros'!$C$12)+'00-Parametros'!$C$5)))</f>
        <v/>
      </c>
      <c r="I98" s="21">
        <f>IF($A98="","",$G98/(1-(('00-Parametros'!$C$9+'00-Parametros'!$C$10+'00-Parametros'!$C$11+'00-Parametros'!$C$12)+'00-Parametros'!$C$6)))</f>
        <v/>
      </c>
      <c r="J98" s="21">
        <f>IF($A98="","",$G98/(1-(('00-Parametros'!$C$9+'00-Parametros'!$C$10+'00-Parametros'!$C$11+'00-Parametros'!$C$12)+'00-Parametros'!$C$7)))</f>
        <v/>
      </c>
      <c r="K98" s="21">
        <f>IF($A98="","",$G98/(1-(('00-Parametros'!$C$9+'00-Parametros'!$C$10+'00-Parametros'!$C$11+'00-Parametros'!$C$12)+'00-Parametros'!$C$8)))</f>
        <v/>
      </c>
      <c r="L98" s="19">
        <f>IF(OR($A98="",$M98="",$M98=0),"",$I98/$M98)</f>
        <v/>
      </c>
      <c r="M98" s="9" t="n"/>
    </row>
    <row r="99">
      <c r="A99" s="18">
        <f>IF('01-Cadastro-Motos'!$A99="","",'01-Cadastro-Motos'!$A99)</f>
        <v/>
      </c>
      <c r="B99" s="18">
        <f>IF($A99="","",IFERROR(INDEX('01-Cadastro-Motos'!$B$4:$B$123,MATCH($A99,'01-Cadastro-Motos'!$A$4:$A$123,0)),""))</f>
        <v/>
      </c>
      <c r="C99" s="15">
        <f>IF($A99="","",IFERROR(INDEX('01-Cadastro-Motos'!$I$4:$I$123,MATCH($A99,'01-Cadastro-Motos'!$A$4:$A$123,0)),""))</f>
        <v/>
      </c>
      <c r="D99" s="15">
        <f>IF($A99="","",IFERROR(INDEX('02-Custos-Diretos'!$J$4:$J$123,MATCH($A99,'02-Custos-Diretos'!$A$4:$A$123,0)),0))</f>
        <v/>
      </c>
      <c r="E99" s="15">
        <f>IF($A99="","",$C99*'00-Parametros'!$C$13*('00-Parametros'!$C$15/30))</f>
        <v/>
      </c>
      <c r="F99" s="15">
        <f>IF($A99="","",'00-Parametros'!$C$16)</f>
        <v/>
      </c>
      <c r="G99" s="15">
        <f>IF($A99="","",SUM(C99:F99))</f>
        <v/>
      </c>
      <c r="H99" s="21">
        <f>IF($A99="","",$G99/(1-(('00-Parametros'!$C$9+'00-Parametros'!$C$10+'00-Parametros'!$C$11+'00-Parametros'!$C$12)+'00-Parametros'!$C$5)))</f>
        <v/>
      </c>
      <c r="I99" s="21">
        <f>IF($A99="","",$G99/(1-(('00-Parametros'!$C$9+'00-Parametros'!$C$10+'00-Parametros'!$C$11+'00-Parametros'!$C$12)+'00-Parametros'!$C$6)))</f>
        <v/>
      </c>
      <c r="J99" s="21">
        <f>IF($A99="","",$G99/(1-(('00-Parametros'!$C$9+'00-Parametros'!$C$10+'00-Parametros'!$C$11+'00-Parametros'!$C$12)+'00-Parametros'!$C$7)))</f>
        <v/>
      </c>
      <c r="K99" s="21">
        <f>IF($A99="","",$G99/(1-(('00-Parametros'!$C$9+'00-Parametros'!$C$10+'00-Parametros'!$C$11+'00-Parametros'!$C$12)+'00-Parametros'!$C$8)))</f>
        <v/>
      </c>
      <c r="L99" s="19">
        <f>IF(OR($A99="",$M99="",$M99=0),"",$I99/$M99)</f>
        <v/>
      </c>
      <c r="M99" s="9" t="n"/>
    </row>
    <row r="100">
      <c r="A100" s="18">
        <f>IF('01-Cadastro-Motos'!$A100="","",'01-Cadastro-Motos'!$A100)</f>
        <v/>
      </c>
      <c r="B100" s="18">
        <f>IF($A100="","",IFERROR(INDEX('01-Cadastro-Motos'!$B$4:$B$123,MATCH($A100,'01-Cadastro-Motos'!$A$4:$A$123,0)),""))</f>
        <v/>
      </c>
      <c r="C100" s="15">
        <f>IF($A100="","",IFERROR(INDEX('01-Cadastro-Motos'!$I$4:$I$123,MATCH($A100,'01-Cadastro-Motos'!$A$4:$A$123,0)),""))</f>
        <v/>
      </c>
      <c r="D100" s="15">
        <f>IF($A100="","",IFERROR(INDEX('02-Custos-Diretos'!$J$4:$J$123,MATCH($A100,'02-Custos-Diretos'!$A$4:$A$123,0)),0))</f>
        <v/>
      </c>
      <c r="E100" s="15">
        <f>IF($A100="","",$C100*'00-Parametros'!$C$13*('00-Parametros'!$C$15/30))</f>
        <v/>
      </c>
      <c r="F100" s="15">
        <f>IF($A100="","",'00-Parametros'!$C$16)</f>
        <v/>
      </c>
      <c r="G100" s="15">
        <f>IF($A100="","",SUM(C100:F100))</f>
        <v/>
      </c>
      <c r="H100" s="21">
        <f>IF($A100="","",$G100/(1-(('00-Parametros'!$C$9+'00-Parametros'!$C$10+'00-Parametros'!$C$11+'00-Parametros'!$C$12)+'00-Parametros'!$C$5)))</f>
        <v/>
      </c>
      <c r="I100" s="21">
        <f>IF($A100="","",$G100/(1-(('00-Parametros'!$C$9+'00-Parametros'!$C$10+'00-Parametros'!$C$11+'00-Parametros'!$C$12)+'00-Parametros'!$C$6)))</f>
        <v/>
      </c>
      <c r="J100" s="21">
        <f>IF($A100="","",$G100/(1-(('00-Parametros'!$C$9+'00-Parametros'!$C$10+'00-Parametros'!$C$11+'00-Parametros'!$C$12)+'00-Parametros'!$C$7)))</f>
        <v/>
      </c>
      <c r="K100" s="21">
        <f>IF($A100="","",$G100/(1-(('00-Parametros'!$C$9+'00-Parametros'!$C$10+'00-Parametros'!$C$11+'00-Parametros'!$C$12)+'00-Parametros'!$C$8)))</f>
        <v/>
      </c>
      <c r="L100" s="19">
        <f>IF(OR($A100="",$M100="",$M100=0),"",$I100/$M100)</f>
        <v/>
      </c>
      <c r="M100" s="9" t="n"/>
    </row>
    <row r="101">
      <c r="A101" s="18">
        <f>IF('01-Cadastro-Motos'!$A101="","",'01-Cadastro-Motos'!$A101)</f>
        <v/>
      </c>
      <c r="B101" s="18">
        <f>IF($A101="","",IFERROR(INDEX('01-Cadastro-Motos'!$B$4:$B$123,MATCH($A101,'01-Cadastro-Motos'!$A$4:$A$123,0)),""))</f>
        <v/>
      </c>
      <c r="C101" s="15">
        <f>IF($A101="","",IFERROR(INDEX('01-Cadastro-Motos'!$I$4:$I$123,MATCH($A101,'01-Cadastro-Motos'!$A$4:$A$123,0)),""))</f>
        <v/>
      </c>
      <c r="D101" s="15">
        <f>IF($A101="","",IFERROR(INDEX('02-Custos-Diretos'!$J$4:$J$123,MATCH($A101,'02-Custos-Diretos'!$A$4:$A$123,0)),0))</f>
        <v/>
      </c>
      <c r="E101" s="15">
        <f>IF($A101="","",$C101*'00-Parametros'!$C$13*('00-Parametros'!$C$15/30))</f>
        <v/>
      </c>
      <c r="F101" s="15">
        <f>IF($A101="","",'00-Parametros'!$C$16)</f>
        <v/>
      </c>
      <c r="G101" s="15">
        <f>IF($A101="","",SUM(C101:F101))</f>
        <v/>
      </c>
      <c r="H101" s="21">
        <f>IF($A101="","",$G101/(1-(('00-Parametros'!$C$9+'00-Parametros'!$C$10+'00-Parametros'!$C$11+'00-Parametros'!$C$12)+'00-Parametros'!$C$5)))</f>
        <v/>
      </c>
      <c r="I101" s="21">
        <f>IF($A101="","",$G101/(1-(('00-Parametros'!$C$9+'00-Parametros'!$C$10+'00-Parametros'!$C$11+'00-Parametros'!$C$12)+'00-Parametros'!$C$6)))</f>
        <v/>
      </c>
      <c r="J101" s="21">
        <f>IF($A101="","",$G101/(1-(('00-Parametros'!$C$9+'00-Parametros'!$C$10+'00-Parametros'!$C$11+'00-Parametros'!$C$12)+'00-Parametros'!$C$7)))</f>
        <v/>
      </c>
      <c r="K101" s="21">
        <f>IF($A101="","",$G101/(1-(('00-Parametros'!$C$9+'00-Parametros'!$C$10+'00-Parametros'!$C$11+'00-Parametros'!$C$12)+'00-Parametros'!$C$8)))</f>
        <v/>
      </c>
      <c r="L101" s="19">
        <f>IF(OR($A101="",$M101="",$M101=0),"",$I101/$M101)</f>
        <v/>
      </c>
      <c r="M101" s="9" t="n"/>
    </row>
    <row r="102">
      <c r="A102" s="18">
        <f>IF('01-Cadastro-Motos'!$A102="","",'01-Cadastro-Motos'!$A102)</f>
        <v/>
      </c>
      <c r="B102" s="18">
        <f>IF($A102="","",IFERROR(INDEX('01-Cadastro-Motos'!$B$4:$B$123,MATCH($A102,'01-Cadastro-Motos'!$A$4:$A$123,0)),""))</f>
        <v/>
      </c>
      <c r="C102" s="15">
        <f>IF($A102="","",IFERROR(INDEX('01-Cadastro-Motos'!$I$4:$I$123,MATCH($A102,'01-Cadastro-Motos'!$A$4:$A$123,0)),""))</f>
        <v/>
      </c>
      <c r="D102" s="15">
        <f>IF($A102="","",IFERROR(INDEX('02-Custos-Diretos'!$J$4:$J$123,MATCH($A102,'02-Custos-Diretos'!$A$4:$A$123,0)),0))</f>
        <v/>
      </c>
      <c r="E102" s="15">
        <f>IF($A102="","",$C102*'00-Parametros'!$C$13*('00-Parametros'!$C$15/30))</f>
        <v/>
      </c>
      <c r="F102" s="15">
        <f>IF($A102="","",'00-Parametros'!$C$16)</f>
        <v/>
      </c>
      <c r="G102" s="15">
        <f>IF($A102="","",SUM(C102:F102))</f>
        <v/>
      </c>
      <c r="H102" s="21">
        <f>IF($A102="","",$G102/(1-(('00-Parametros'!$C$9+'00-Parametros'!$C$10+'00-Parametros'!$C$11+'00-Parametros'!$C$12)+'00-Parametros'!$C$5)))</f>
        <v/>
      </c>
      <c r="I102" s="21">
        <f>IF($A102="","",$G102/(1-(('00-Parametros'!$C$9+'00-Parametros'!$C$10+'00-Parametros'!$C$11+'00-Parametros'!$C$12)+'00-Parametros'!$C$6)))</f>
        <v/>
      </c>
      <c r="J102" s="21">
        <f>IF($A102="","",$G102/(1-(('00-Parametros'!$C$9+'00-Parametros'!$C$10+'00-Parametros'!$C$11+'00-Parametros'!$C$12)+'00-Parametros'!$C$7)))</f>
        <v/>
      </c>
      <c r="K102" s="21">
        <f>IF($A102="","",$G102/(1-(('00-Parametros'!$C$9+'00-Parametros'!$C$10+'00-Parametros'!$C$11+'00-Parametros'!$C$12)+'00-Parametros'!$C$8)))</f>
        <v/>
      </c>
      <c r="L102" s="19">
        <f>IF(OR($A102="",$M102="",$M102=0),"",$I102/$M102)</f>
        <v/>
      </c>
      <c r="M102" s="9" t="n"/>
    </row>
    <row r="103">
      <c r="A103" s="18">
        <f>IF('01-Cadastro-Motos'!$A103="","",'01-Cadastro-Motos'!$A103)</f>
        <v/>
      </c>
      <c r="B103" s="18">
        <f>IF($A103="","",IFERROR(INDEX('01-Cadastro-Motos'!$B$4:$B$123,MATCH($A103,'01-Cadastro-Motos'!$A$4:$A$123,0)),""))</f>
        <v/>
      </c>
      <c r="C103" s="15">
        <f>IF($A103="","",IFERROR(INDEX('01-Cadastro-Motos'!$I$4:$I$123,MATCH($A103,'01-Cadastro-Motos'!$A$4:$A$123,0)),""))</f>
        <v/>
      </c>
      <c r="D103" s="15">
        <f>IF($A103="","",IFERROR(INDEX('02-Custos-Diretos'!$J$4:$J$123,MATCH($A103,'02-Custos-Diretos'!$A$4:$A$123,0)),0))</f>
        <v/>
      </c>
      <c r="E103" s="15">
        <f>IF($A103="","",$C103*'00-Parametros'!$C$13*('00-Parametros'!$C$15/30))</f>
        <v/>
      </c>
      <c r="F103" s="15">
        <f>IF($A103="","",'00-Parametros'!$C$16)</f>
        <v/>
      </c>
      <c r="G103" s="15">
        <f>IF($A103="","",SUM(C103:F103))</f>
        <v/>
      </c>
      <c r="H103" s="21">
        <f>IF($A103="","",$G103/(1-(('00-Parametros'!$C$9+'00-Parametros'!$C$10+'00-Parametros'!$C$11+'00-Parametros'!$C$12)+'00-Parametros'!$C$5)))</f>
        <v/>
      </c>
      <c r="I103" s="21">
        <f>IF($A103="","",$G103/(1-(('00-Parametros'!$C$9+'00-Parametros'!$C$10+'00-Parametros'!$C$11+'00-Parametros'!$C$12)+'00-Parametros'!$C$6)))</f>
        <v/>
      </c>
      <c r="J103" s="21">
        <f>IF($A103="","",$G103/(1-(('00-Parametros'!$C$9+'00-Parametros'!$C$10+'00-Parametros'!$C$11+'00-Parametros'!$C$12)+'00-Parametros'!$C$7)))</f>
        <v/>
      </c>
      <c r="K103" s="21">
        <f>IF($A103="","",$G103/(1-(('00-Parametros'!$C$9+'00-Parametros'!$C$10+'00-Parametros'!$C$11+'00-Parametros'!$C$12)+'00-Parametros'!$C$8)))</f>
        <v/>
      </c>
      <c r="L103" s="19">
        <f>IF(OR($A103="",$M103="",$M103=0),"",$I103/$M103)</f>
        <v/>
      </c>
      <c r="M103" s="9" t="n"/>
    </row>
    <row r="104">
      <c r="A104" s="18">
        <f>IF('01-Cadastro-Motos'!$A104="","",'01-Cadastro-Motos'!$A104)</f>
        <v/>
      </c>
      <c r="B104" s="18">
        <f>IF($A104="","",IFERROR(INDEX('01-Cadastro-Motos'!$B$4:$B$123,MATCH($A104,'01-Cadastro-Motos'!$A$4:$A$123,0)),""))</f>
        <v/>
      </c>
      <c r="C104" s="15">
        <f>IF($A104="","",IFERROR(INDEX('01-Cadastro-Motos'!$I$4:$I$123,MATCH($A104,'01-Cadastro-Motos'!$A$4:$A$123,0)),""))</f>
        <v/>
      </c>
      <c r="D104" s="15">
        <f>IF($A104="","",IFERROR(INDEX('02-Custos-Diretos'!$J$4:$J$123,MATCH($A104,'02-Custos-Diretos'!$A$4:$A$123,0)),0))</f>
        <v/>
      </c>
      <c r="E104" s="15">
        <f>IF($A104="","",$C104*'00-Parametros'!$C$13*('00-Parametros'!$C$15/30))</f>
        <v/>
      </c>
      <c r="F104" s="15">
        <f>IF($A104="","",'00-Parametros'!$C$16)</f>
        <v/>
      </c>
      <c r="G104" s="15">
        <f>IF($A104="","",SUM(C104:F104))</f>
        <v/>
      </c>
      <c r="H104" s="21">
        <f>IF($A104="","",$G104/(1-(('00-Parametros'!$C$9+'00-Parametros'!$C$10+'00-Parametros'!$C$11+'00-Parametros'!$C$12)+'00-Parametros'!$C$5)))</f>
        <v/>
      </c>
      <c r="I104" s="21">
        <f>IF($A104="","",$G104/(1-(('00-Parametros'!$C$9+'00-Parametros'!$C$10+'00-Parametros'!$C$11+'00-Parametros'!$C$12)+'00-Parametros'!$C$6)))</f>
        <v/>
      </c>
      <c r="J104" s="21">
        <f>IF($A104="","",$G104/(1-(('00-Parametros'!$C$9+'00-Parametros'!$C$10+'00-Parametros'!$C$11+'00-Parametros'!$C$12)+'00-Parametros'!$C$7)))</f>
        <v/>
      </c>
      <c r="K104" s="21">
        <f>IF($A104="","",$G104/(1-(('00-Parametros'!$C$9+'00-Parametros'!$C$10+'00-Parametros'!$C$11+'00-Parametros'!$C$12)+'00-Parametros'!$C$8)))</f>
        <v/>
      </c>
      <c r="L104" s="19">
        <f>IF(OR($A104="",$M104="",$M104=0),"",$I104/$M104)</f>
        <v/>
      </c>
      <c r="M104" s="9" t="n"/>
    </row>
    <row r="105">
      <c r="A105" s="18">
        <f>IF('01-Cadastro-Motos'!$A105="","",'01-Cadastro-Motos'!$A105)</f>
        <v/>
      </c>
      <c r="B105" s="18">
        <f>IF($A105="","",IFERROR(INDEX('01-Cadastro-Motos'!$B$4:$B$123,MATCH($A105,'01-Cadastro-Motos'!$A$4:$A$123,0)),""))</f>
        <v/>
      </c>
      <c r="C105" s="15">
        <f>IF($A105="","",IFERROR(INDEX('01-Cadastro-Motos'!$I$4:$I$123,MATCH($A105,'01-Cadastro-Motos'!$A$4:$A$123,0)),""))</f>
        <v/>
      </c>
      <c r="D105" s="15">
        <f>IF($A105="","",IFERROR(INDEX('02-Custos-Diretos'!$J$4:$J$123,MATCH($A105,'02-Custos-Diretos'!$A$4:$A$123,0)),0))</f>
        <v/>
      </c>
      <c r="E105" s="15">
        <f>IF($A105="","",$C105*'00-Parametros'!$C$13*('00-Parametros'!$C$15/30))</f>
        <v/>
      </c>
      <c r="F105" s="15">
        <f>IF($A105="","",'00-Parametros'!$C$16)</f>
        <v/>
      </c>
      <c r="G105" s="15">
        <f>IF($A105="","",SUM(C105:F105))</f>
        <v/>
      </c>
      <c r="H105" s="21">
        <f>IF($A105="","",$G105/(1-(('00-Parametros'!$C$9+'00-Parametros'!$C$10+'00-Parametros'!$C$11+'00-Parametros'!$C$12)+'00-Parametros'!$C$5)))</f>
        <v/>
      </c>
      <c r="I105" s="21">
        <f>IF($A105="","",$G105/(1-(('00-Parametros'!$C$9+'00-Parametros'!$C$10+'00-Parametros'!$C$11+'00-Parametros'!$C$12)+'00-Parametros'!$C$6)))</f>
        <v/>
      </c>
      <c r="J105" s="21">
        <f>IF($A105="","",$G105/(1-(('00-Parametros'!$C$9+'00-Parametros'!$C$10+'00-Parametros'!$C$11+'00-Parametros'!$C$12)+'00-Parametros'!$C$7)))</f>
        <v/>
      </c>
      <c r="K105" s="21">
        <f>IF($A105="","",$G105/(1-(('00-Parametros'!$C$9+'00-Parametros'!$C$10+'00-Parametros'!$C$11+'00-Parametros'!$C$12)+'00-Parametros'!$C$8)))</f>
        <v/>
      </c>
      <c r="L105" s="19">
        <f>IF(OR($A105="",$M105="",$M105=0),"",$I105/$M105)</f>
        <v/>
      </c>
      <c r="M105" s="9" t="n"/>
    </row>
    <row r="106">
      <c r="A106" s="18">
        <f>IF('01-Cadastro-Motos'!$A106="","",'01-Cadastro-Motos'!$A106)</f>
        <v/>
      </c>
      <c r="B106" s="18">
        <f>IF($A106="","",IFERROR(INDEX('01-Cadastro-Motos'!$B$4:$B$123,MATCH($A106,'01-Cadastro-Motos'!$A$4:$A$123,0)),""))</f>
        <v/>
      </c>
      <c r="C106" s="15">
        <f>IF($A106="","",IFERROR(INDEX('01-Cadastro-Motos'!$I$4:$I$123,MATCH($A106,'01-Cadastro-Motos'!$A$4:$A$123,0)),""))</f>
        <v/>
      </c>
      <c r="D106" s="15">
        <f>IF($A106="","",IFERROR(INDEX('02-Custos-Diretos'!$J$4:$J$123,MATCH($A106,'02-Custos-Diretos'!$A$4:$A$123,0)),0))</f>
        <v/>
      </c>
      <c r="E106" s="15">
        <f>IF($A106="","",$C106*'00-Parametros'!$C$13*('00-Parametros'!$C$15/30))</f>
        <v/>
      </c>
      <c r="F106" s="15">
        <f>IF($A106="","",'00-Parametros'!$C$16)</f>
        <v/>
      </c>
      <c r="G106" s="15">
        <f>IF($A106="","",SUM(C106:F106))</f>
        <v/>
      </c>
      <c r="H106" s="21">
        <f>IF($A106="","",$G106/(1-(('00-Parametros'!$C$9+'00-Parametros'!$C$10+'00-Parametros'!$C$11+'00-Parametros'!$C$12)+'00-Parametros'!$C$5)))</f>
        <v/>
      </c>
      <c r="I106" s="21">
        <f>IF($A106="","",$G106/(1-(('00-Parametros'!$C$9+'00-Parametros'!$C$10+'00-Parametros'!$C$11+'00-Parametros'!$C$12)+'00-Parametros'!$C$6)))</f>
        <v/>
      </c>
      <c r="J106" s="21">
        <f>IF($A106="","",$G106/(1-(('00-Parametros'!$C$9+'00-Parametros'!$C$10+'00-Parametros'!$C$11+'00-Parametros'!$C$12)+'00-Parametros'!$C$7)))</f>
        <v/>
      </c>
      <c r="K106" s="21">
        <f>IF($A106="","",$G106/(1-(('00-Parametros'!$C$9+'00-Parametros'!$C$10+'00-Parametros'!$C$11+'00-Parametros'!$C$12)+'00-Parametros'!$C$8)))</f>
        <v/>
      </c>
      <c r="L106" s="19">
        <f>IF(OR($A106="",$M106="",$M106=0),"",$I106/$M106)</f>
        <v/>
      </c>
      <c r="M106" s="9" t="n"/>
    </row>
    <row r="107">
      <c r="A107" s="18">
        <f>IF('01-Cadastro-Motos'!$A107="","",'01-Cadastro-Motos'!$A107)</f>
        <v/>
      </c>
      <c r="B107" s="18">
        <f>IF($A107="","",IFERROR(INDEX('01-Cadastro-Motos'!$B$4:$B$123,MATCH($A107,'01-Cadastro-Motos'!$A$4:$A$123,0)),""))</f>
        <v/>
      </c>
      <c r="C107" s="15">
        <f>IF($A107="","",IFERROR(INDEX('01-Cadastro-Motos'!$I$4:$I$123,MATCH($A107,'01-Cadastro-Motos'!$A$4:$A$123,0)),""))</f>
        <v/>
      </c>
      <c r="D107" s="15">
        <f>IF($A107="","",IFERROR(INDEX('02-Custos-Diretos'!$J$4:$J$123,MATCH($A107,'02-Custos-Diretos'!$A$4:$A$123,0)),0))</f>
        <v/>
      </c>
      <c r="E107" s="15">
        <f>IF($A107="","",$C107*'00-Parametros'!$C$13*('00-Parametros'!$C$15/30))</f>
        <v/>
      </c>
      <c r="F107" s="15">
        <f>IF($A107="","",'00-Parametros'!$C$16)</f>
        <v/>
      </c>
      <c r="G107" s="15">
        <f>IF($A107="","",SUM(C107:F107))</f>
        <v/>
      </c>
      <c r="H107" s="21">
        <f>IF($A107="","",$G107/(1-(('00-Parametros'!$C$9+'00-Parametros'!$C$10+'00-Parametros'!$C$11+'00-Parametros'!$C$12)+'00-Parametros'!$C$5)))</f>
        <v/>
      </c>
      <c r="I107" s="21">
        <f>IF($A107="","",$G107/(1-(('00-Parametros'!$C$9+'00-Parametros'!$C$10+'00-Parametros'!$C$11+'00-Parametros'!$C$12)+'00-Parametros'!$C$6)))</f>
        <v/>
      </c>
      <c r="J107" s="21">
        <f>IF($A107="","",$G107/(1-(('00-Parametros'!$C$9+'00-Parametros'!$C$10+'00-Parametros'!$C$11+'00-Parametros'!$C$12)+'00-Parametros'!$C$7)))</f>
        <v/>
      </c>
      <c r="K107" s="21">
        <f>IF($A107="","",$G107/(1-(('00-Parametros'!$C$9+'00-Parametros'!$C$10+'00-Parametros'!$C$11+'00-Parametros'!$C$12)+'00-Parametros'!$C$8)))</f>
        <v/>
      </c>
      <c r="L107" s="19">
        <f>IF(OR($A107="",$M107="",$M107=0),"",$I107/$M107)</f>
        <v/>
      </c>
      <c r="M107" s="9" t="n"/>
    </row>
    <row r="108">
      <c r="A108" s="18">
        <f>IF('01-Cadastro-Motos'!$A108="","",'01-Cadastro-Motos'!$A108)</f>
        <v/>
      </c>
      <c r="B108" s="18">
        <f>IF($A108="","",IFERROR(INDEX('01-Cadastro-Motos'!$B$4:$B$123,MATCH($A108,'01-Cadastro-Motos'!$A$4:$A$123,0)),""))</f>
        <v/>
      </c>
      <c r="C108" s="15">
        <f>IF($A108="","",IFERROR(INDEX('01-Cadastro-Motos'!$I$4:$I$123,MATCH($A108,'01-Cadastro-Motos'!$A$4:$A$123,0)),""))</f>
        <v/>
      </c>
      <c r="D108" s="15">
        <f>IF($A108="","",IFERROR(INDEX('02-Custos-Diretos'!$J$4:$J$123,MATCH($A108,'02-Custos-Diretos'!$A$4:$A$123,0)),0))</f>
        <v/>
      </c>
      <c r="E108" s="15">
        <f>IF($A108="","",$C108*'00-Parametros'!$C$13*('00-Parametros'!$C$15/30))</f>
        <v/>
      </c>
      <c r="F108" s="15">
        <f>IF($A108="","",'00-Parametros'!$C$16)</f>
        <v/>
      </c>
      <c r="G108" s="15">
        <f>IF($A108="","",SUM(C108:F108))</f>
        <v/>
      </c>
      <c r="H108" s="21">
        <f>IF($A108="","",$G108/(1-(('00-Parametros'!$C$9+'00-Parametros'!$C$10+'00-Parametros'!$C$11+'00-Parametros'!$C$12)+'00-Parametros'!$C$5)))</f>
        <v/>
      </c>
      <c r="I108" s="21">
        <f>IF($A108="","",$G108/(1-(('00-Parametros'!$C$9+'00-Parametros'!$C$10+'00-Parametros'!$C$11+'00-Parametros'!$C$12)+'00-Parametros'!$C$6)))</f>
        <v/>
      </c>
      <c r="J108" s="21">
        <f>IF($A108="","",$G108/(1-(('00-Parametros'!$C$9+'00-Parametros'!$C$10+'00-Parametros'!$C$11+'00-Parametros'!$C$12)+'00-Parametros'!$C$7)))</f>
        <v/>
      </c>
      <c r="K108" s="21">
        <f>IF($A108="","",$G108/(1-(('00-Parametros'!$C$9+'00-Parametros'!$C$10+'00-Parametros'!$C$11+'00-Parametros'!$C$12)+'00-Parametros'!$C$8)))</f>
        <v/>
      </c>
      <c r="L108" s="19">
        <f>IF(OR($A108="",$M108="",$M108=0),"",$I108/$M108)</f>
        <v/>
      </c>
      <c r="M108" s="9" t="n"/>
    </row>
    <row r="109">
      <c r="A109" s="18">
        <f>IF('01-Cadastro-Motos'!$A109="","",'01-Cadastro-Motos'!$A109)</f>
        <v/>
      </c>
      <c r="B109" s="18">
        <f>IF($A109="","",IFERROR(INDEX('01-Cadastro-Motos'!$B$4:$B$123,MATCH($A109,'01-Cadastro-Motos'!$A$4:$A$123,0)),""))</f>
        <v/>
      </c>
      <c r="C109" s="15">
        <f>IF($A109="","",IFERROR(INDEX('01-Cadastro-Motos'!$I$4:$I$123,MATCH($A109,'01-Cadastro-Motos'!$A$4:$A$123,0)),""))</f>
        <v/>
      </c>
      <c r="D109" s="15">
        <f>IF($A109="","",IFERROR(INDEX('02-Custos-Diretos'!$J$4:$J$123,MATCH($A109,'02-Custos-Diretos'!$A$4:$A$123,0)),0))</f>
        <v/>
      </c>
      <c r="E109" s="15">
        <f>IF($A109="","",$C109*'00-Parametros'!$C$13*('00-Parametros'!$C$15/30))</f>
        <v/>
      </c>
      <c r="F109" s="15">
        <f>IF($A109="","",'00-Parametros'!$C$16)</f>
        <v/>
      </c>
      <c r="G109" s="15">
        <f>IF($A109="","",SUM(C109:F109))</f>
        <v/>
      </c>
      <c r="H109" s="21">
        <f>IF($A109="","",$G109/(1-(('00-Parametros'!$C$9+'00-Parametros'!$C$10+'00-Parametros'!$C$11+'00-Parametros'!$C$12)+'00-Parametros'!$C$5)))</f>
        <v/>
      </c>
      <c r="I109" s="21">
        <f>IF($A109="","",$G109/(1-(('00-Parametros'!$C$9+'00-Parametros'!$C$10+'00-Parametros'!$C$11+'00-Parametros'!$C$12)+'00-Parametros'!$C$6)))</f>
        <v/>
      </c>
      <c r="J109" s="21">
        <f>IF($A109="","",$G109/(1-(('00-Parametros'!$C$9+'00-Parametros'!$C$10+'00-Parametros'!$C$11+'00-Parametros'!$C$12)+'00-Parametros'!$C$7)))</f>
        <v/>
      </c>
      <c r="K109" s="21">
        <f>IF($A109="","",$G109/(1-(('00-Parametros'!$C$9+'00-Parametros'!$C$10+'00-Parametros'!$C$11+'00-Parametros'!$C$12)+'00-Parametros'!$C$8)))</f>
        <v/>
      </c>
      <c r="L109" s="19">
        <f>IF(OR($A109="",$M109="",$M109=0),"",$I109/$M109)</f>
        <v/>
      </c>
      <c r="M109" s="9" t="n"/>
    </row>
    <row r="110">
      <c r="A110" s="18">
        <f>IF('01-Cadastro-Motos'!$A110="","",'01-Cadastro-Motos'!$A110)</f>
        <v/>
      </c>
      <c r="B110" s="18">
        <f>IF($A110="","",IFERROR(INDEX('01-Cadastro-Motos'!$B$4:$B$123,MATCH($A110,'01-Cadastro-Motos'!$A$4:$A$123,0)),""))</f>
        <v/>
      </c>
      <c r="C110" s="15">
        <f>IF($A110="","",IFERROR(INDEX('01-Cadastro-Motos'!$I$4:$I$123,MATCH($A110,'01-Cadastro-Motos'!$A$4:$A$123,0)),""))</f>
        <v/>
      </c>
      <c r="D110" s="15">
        <f>IF($A110="","",IFERROR(INDEX('02-Custos-Diretos'!$J$4:$J$123,MATCH($A110,'02-Custos-Diretos'!$A$4:$A$123,0)),0))</f>
        <v/>
      </c>
      <c r="E110" s="15">
        <f>IF($A110="","",$C110*'00-Parametros'!$C$13*('00-Parametros'!$C$15/30))</f>
        <v/>
      </c>
      <c r="F110" s="15">
        <f>IF($A110="","",'00-Parametros'!$C$16)</f>
        <v/>
      </c>
      <c r="G110" s="15">
        <f>IF($A110="","",SUM(C110:F110))</f>
        <v/>
      </c>
      <c r="H110" s="21">
        <f>IF($A110="","",$G110/(1-(('00-Parametros'!$C$9+'00-Parametros'!$C$10+'00-Parametros'!$C$11+'00-Parametros'!$C$12)+'00-Parametros'!$C$5)))</f>
        <v/>
      </c>
      <c r="I110" s="21">
        <f>IF($A110="","",$G110/(1-(('00-Parametros'!$C$9+'00-Parametros'!$C$10+'00-Parametros'!$C$11+'00-Parametros'!$C$12)+'00-Parametros'!$C$6)))</f>
        <v/>
      </c>
      <c r="J110" s="21">
        <f>IF($A110="","",$G110/(1-(('00-Parametros'!$C$9+'00-Parametros'!$C$10+'00-Parametros'!$C$11+'00-Parametros'!$C$12)+'00-Parametros'!$C$7)))</f>
        <v/>
      </c>
      <c r="K110" s="21">
        <f>IF($A110="","",$G110/(1-(('00-Parametros'!$C$9+'00-Parametros'!$C$10+'00-Parametros'!$C$11+'00-Parametros'!$C$12)+'00-Parametros'!$C$8)))</f>
        <v/>
      </c>
      <c r="L110" s="19">
        <f>IF(OR($A110="",$M110="",$M110=0),"",$I110/$M110)</f>
        <v/>
      </c>
      <c r="M110" s="9" t="n"/>
    </row>
    <row r="111">
      <c r="A111" s="18">
        <f>IF('01-Cadastro-Motos'!$A111="","",'01-Cadastro-Motos'!$A111)</f>
        <v/>
      </c>
      <c r="B111" s="18">
        <f>IF($A111="","",IFERROR(INDEX('01-Cadastro-Motos'!$B$4:$B$123,MATCH($A111,'01-Cadastro-Motos'!$A$4:$A$123,0)),""))</f>
        <v/>
      </c>
      <c r="C111" s="15">
        <f>IF($A111="","",IFERROR(INDEX('01-Cadastro-Motos'!$I$4:$I$123,MATCH($A111,'01-Cadastro-Motos'!$A$4:$A$123,0)),""))</f>
        <v/>
      </c>
      <c r="D111" s="15">
        <f>IF($A111="","",IFERROR(INDEX('02-Custos-Diretos'!$J$4:$J$123,MATCH($A111,'02-Custos-Diretos'!$A$4:$A$123,0)),0))</f>
        <v/>
      </c>
      <c r="E111" s="15">
        <f>IF($A111="","",$C111*'00-Parametros'!$C$13*('00-Parametros'!$C$15/30))</f>
        <v/>
      </c>
      <c r="F111" s="15">
        <f>IF($A111="","",'00-Parametros'!$C$16)</f>
        <v/>
      </c>
      <c r="G111" s="15">
        <f>IF($A111="","",SUM(C111:F111))</f>
        <v/>
      </c>
      <c r="H111" s="21">
        <f>IF($A111="","",$G111/(1-(('00-Parametros'!$C$9+'00-Parametros'!$C$10+'00-Parametros'!$C$11+'00-Parametros'!$C$12)+'00-Parametros'!$C$5)))</f>
        <v/>
      </c>
      <c r="I111" s="21">
        <f>IF($A111="","",$G111/(1-(('00-Parametros'!$C$9+'00-Parametros'!$C$10+'00-Parametros'!$C$11+'00-Parametros'!$C$12)+'00-Parametros'!$C$6)))</f>
        <v/>
      </c>
      <c r="J111" s="21">
        <f>IF($A111="","",$G111/(1-(('00-Parametros'!$C$9+'00-Parametros'!$C$10+'00-Parametros'!$C$11+'00-Parametros'!$C$12)+'00-Parametros'!$C$7)))</f>
        <v/>
      </c>
      <c r="K111" s="21">
        <f>IF($A111="","",$G111/(1-(('00-Parametros'!$C$9+'00-Parametros'!$C$10+'00-Parametros'!$C$11+'00-Parametros'!$C$12)+'00-Parametros'!$C$8)))</f>
        <v/>
      </c>
      <c r="L111" s="19">
        <f>IF(OR($A111="",$M111="",$M111=0),"",$I111/$M111)</f>
        <v/>
      </c>
      <c r="M111" s="9" t="n"/>
    </row>
    <row r="112">
      <c r="A112" s="18">
        <f>IF('01-Cadastro-Motos'!$A112="","",'01-Cadastro-Motos'!$A112)</f>
        <v/>
      </c>
      <c r="B112" s="18">
        <f>IF($A112="","",IFERROR(INDEX('01-Cadastro-Motos'!$B$4:$B$123,MATCH($A112,'01-Cadastro-Motos'!$A$4:$A$123,0)),""))</f>
        <v/>
      </c>
      <c r="C112" s="15">
        <f>IF($A112="","",IFERROR(INDEX('01-Cadastro-Motos'!$I$4:$I$123,MATCH($A112,'01-Cadastro-Motos'!$A$4:$A$123,0)),""))</f>
        <v/>
      </c>
      <c r="D112" s="15">
        <f>IF($A112="","",IFERROR(INDEX('02-Custos-Diretos'!$J$4:$J$123,MATCH($A112,'02-Custos-Diretos'!$A$4:$A$123,0)),0))</f>
        <v/>
      </c>
      <c r="E112" s="15">
        <f>IF($A112="","",$C112*'00-Parametros'!$C$13*('00-Parametros'!$C$15/30))</f>
        <v/>
      </c>
      <c r="F112" s="15">
        <f>IF($A112="","",'00-Parametros'!$C$16)</f>
        <v/>
      </c>
      <c r="G112" s="15">
        <f>IF($A112="","",SUM(C112:F112))</f>
        <v/>
      </c>
      <c r="H112" s="21">
        <f>IF($A112="","",$G112/(1-(('00-Parametros'!$C$9+'00-Parametros'!$C$10+'00-Parametros'!$C$11+'00-Parametros'!$C$12)+'00-Parametros'!$C$5)))</f>
        <v/>
      </c>
      <c r="I112" s="21">
        <f>IF($A112="","",$G112/(1-(('00-Parametros'!$C$9+'00-Parametros'!$C$10+'00-Parametros'!$C$11+'00-Parametros'!$C$12)+'00-Parametros'!$C$6)))</f>
        <v/>
      </c>
      <c r="J112" s="21">
        <f>IF($A112="","",$G112/(1-(('00-Parametros'!$C$9+'00-Parametros'!$C$10+'00-Parametros'!$C$11+'00-Parametros'!$C$12)+'00-Parametros'!$C$7)))</f>
        <v/>
      </c>
      <c r="K112" s="21">
        <f>IF($A112="","",$G112/(1-(('00-Parametros'!$C$9+'00-Parametros'!$C$10+'00-Parametros'!$C$11+'00-Parametros'!$C$12)+'00-Parametros'!$C$8)))</f>
        <v/>
      </c>
      <c r="L112" s="19">
        <f>IF(OR($A112="",$M112="",$M112=0),"",$I112/$M112)</f>
        <v/>
      </c>
      <c r="M112" s="9" t="n"/>
    </row>
    <row r="113">
      <c r="A113" s="18">
        <f>IF('01-Cadastro-Motos'!$A113="","",'01-Cadastro-Motos'!$A113)</f>
        <v/>
      </c>
      <c r="B113" s="18">
        <f>IF($A113="","",IFERROR(INDEX('01-Cadastro-Motos'!$B$4:$B$123,MATCH($A113,'01-Cadastro-Motos'!$A$4:$A$123,0)),""))</f>
        <v/>
      </c>
      <c r="C113" s="15">
        <f>IF($A113="","",IFERROR(INDEX('01-Cadastro-Motos'!$I$4:$I$123,MATCH($A113,'01-Cadastro-Motos'!$A$4:$A$123,0)),""))</f>
        <v/>
      </c>
      <c r="D113" s="15">
        <f>IF($A113="","",IFERROR(INDEX('02-Custos-Diretos'!$J$4:$J$123,MATCH($A113,'02-Custos-Diretos'!$A$4:$A$123,0)),0))</f>
        <v/>
      </c>
      <c r="E113" s="15">
        <f>IF($A113="","",$C113*'00-Parametros'!$C$13*('00-Parametros'!$C$15/30))</f>
        <v/>
      </c>
      <c r="F113" s="15">
        <f>IF($A113="","",'00-Parametros'!$C$16)</f>
        <v/>
      </c>
      <c r="G113" s="15">
        <f>IF($A113="","",SUM(C113:F113))</f>
        <v/>
      </c>
      <c r="H113" s="21">
        <f>IF($A113="","",$G113/(1-(('00-Parametros'!$C$9+'00-Parametros'!$C$10+'00-Parametros'!$C$11+'00-Parametros'!$C$12)+'00-Parametros'!$C$5)))</f>
        <v/>
      </c>
      <c r="I113" s="21">
        <f>IF($A113="","",$G113/(1-(('00-Parametros'!$C$9+'00-Parametros'!$C$10+'00-Parametros'!$C$11+'00-Parametros'!$C$12)+'00-Parametros'!$C$6)))</f>
        <v/>
      </c>
      <c r="J113" s="21">
        <f>IF($A113="","",$G113/(1-(('00-Parametros'!$C$9+'00-Parametros'!$C$10+'00-Parametros'!$C$11+'00-Parametros'!$C$12)+'00-Parametros'!$C$7)))</f>
        <v/>
      </c>
      <c r="K113" s="21">
        <f>IF($A113="","",$G113/(1-(('00-Parametros'!$C$9+'00-Parametros'!$C$10+'00-Parametros'!$C$11+'00-Parametros'!$C$12)+'00-Parametros'!$C$8)))</f>
        <v/>
      </c>
      <c r="L113" s="19">
        <f>IF(OR($A113="",$M113="",$M113=0),"",$I113/$M113)</f>
        <v/>
      </c>
      <c r="M113" s="9" t="n"/>
    </row>
    <row r="114">
      <c r="A114" s="18">
        <f>IF('01-Cadastro-Motos'!$A114="","",'01-Cadastro-Motos'!$A114)</f>
        <v/>
      </c>
      <c r="B114" s="18">
        <f>IF($A114="","",IFERROR(INDEX('01-Cadastro-Motos'!$B$4:$B$123,MATCH($A114,'01-Cadastro-Motos'!$A$4:$A$123,0)),""))</f>
        <v/>
      </c>
      <c r="C114" s="15">
        <f>IF($A114="","",IFERROR(INDEX('01-Cadastro-Motos'!$I$4:$I$123,MATCH($A114,'01-Cadastro-Motos'!$A$4:$A$123,0)),""))</f>
        <v/>
      </c>
      <c r="D114" s="15">
        <f>IF($A114="","",IFERROR(INDEX('02-Custos-Diretos'!$J$4:$J$123,MATCH($A114,'02-Custos-Diretos'!$A$4:$A$123,0)),0))</f>
        <v/>
      </c>
      <c r="E114" s="15">
        <f>IF($A114="","",$C114*'00-Parametros'!$C$13*('00-Parametros'!$C$15/30))</f>
        <v/>
      </c>
      <c r="F114" s="15">
        <f>IF($A114="","",'00-Parametros'!$C$16)</f>
        <v/>
      </c>
      <c r="G114" s="15">
        <f>IF($A114="","",SUM(C114:F114))</f>
        <v/>
      </c>
      <c r="H114" s="21">
        <f>IF($A114="","",$G114/(1-(('00-Parametros'!$C$9+'00-Parametros'!$C$10+'00-Parametros'!$C$11+'00-Parametros'!$C$12)+'00-Parametros'!$C$5)))</f>
        <v/>
      </c>
      <c r="I114" s="21">
        <f>IF($A114="","",$G114/(1-(('00-Parametros'!$C$9+'00-Parametros'!$C$10+'00-Parametros'!$C$11+'00-Parametros'!$C$12)+'00-Parametros'!$C$6)))</f>
        <v/>
      </c>
      <c r="J114" s="21">
        <f>IF($A114="","",$G114/(1-(('00-Parametros'!$C$9+'00-Parametros'!$C$10+'00-Parametros'!$C$11+'00-Parametros'!$C$12)+'00-Parametros'!$C$7)))</f>
        <v/>
      </c>
      <c r="K114" s="21">
        <f>IF($A114="","",$G114/(1-(('00-Parametros'!$C$9+'00-Parametros'!$C$10+'00-Parametros'!$C$11+'00-Parametros'!$C$12)+'00-Parametros'!$C$8)))</f>
        <v/>
      </c>
      <c r="L114" s="19">
        <f>IF(OR($A114="",$M114="",$M114=0),"",$I114/$M114)</f>
        <v/>
      </c>
      <c r="M114" s="9" t="n"/>
    </row>
    <row r="115">
      <c r="A115" s="18">
        <f>IF('01-Cadastro-Motos'!$A115="","",'01-Cadastro-Motos'!$A115)</f>
        <v/>
      </c>
      <c r="B115" s="18">
        <f>IF($A115="","",IFERROR(INDEX('01-Cadastro-Motos'!$B$4:$B$123,MATCH($A115,'01-Cadastro-Motos'!$A$4:$A$123,0)),""))</f>
        <v/>
      </c>
      <c r="C115" s="15">
        <f>IF($A115="","",IFERROR(INDEX('01-Cadastro-Motos'!$I$4:$I$123,MATCH($A115,'01-Cadastro-Motos'!$A$4:$A$123,0)),""))</f>
        <v/>
      </c>
      <c r="D115" s="15">
        <f>IF($A115="","",IFERROR(INDEX('02-Custos-Diretos'!$J$4:$J$123,MATCH($A115,'02-Custos-Diretos'!$A$4:$A$123,0)),0))</f>
        <v/>
      </c>
      <c r="E115" s="15">
        <f>IF($A115="","",$C115*'00-Parametros'!$C$13*('00-Parametros'!$C$15/30))</f>
        <v/>
      </c>
      <c r="F115" s="15">
        <f>IF($A115="","",'00-Parametros'!$C$16)</f>
        <v/>
      </c>
      <c r="G115" s="15">
        <f>IF($A115="","",SUM(C115:F115))</f>
        <v/>
      </c>
      <c r="H115" s="21">
        <f>IF($A115="","",$G115/(1-(('00-Parametros'!$C$9+'00-Parametros'!$C$10+'00-Parametros'!$C$11+'00-Parametros'!$C$12)+'00-Parametros'!$C$5)))</f>
        <v/>
      </c>
      <c r="I115" s="21">
        <f>IF($A115="","",$G115/(1-(('00-Parametros'!$C$9+'00-Parametros'!$C$10+'00-Parametros'!$C$11+'00-Parametros'!$C$12)+'00-Parametros'!$C$6)))</f>
        <v/>
      </c>
      <c r="J115" s="21">
        <f>IF($A115="","",$G115/(1-(('00-Parametros'!$C$9+'00-Parametros'!$C$10+'00-Parametros'!$C$11+'00-Parametros'!$C$12)+'00-Parametros'!$C$7)))</f>
        <v/>
      </c>
      <c r="K115" s="21">
        <f>IF($A115="","",$G115/(1-(('00-Parametros'!$C$9+'00-Parametros'!$C$10+'00-Parametros'!$C$11+'00-Parametros'!$C$12)+'00-Parametros'!$C$8)))</f>
        <v/>
      </c>
      <c r="L115" s="19">
        <f>IF(OR($A115="",$M115="",$M115=0),"",$I115/$M115)</f>
        <v/>
      </c>
      <c r="M115" s="9" t="n"/>
    </row>
    <row r="116">
      <c r="A116" s="18">
        <f>IF('01-Cadastro-Motos'!$A116="","",'01-Cadastro-Motos'!$A116)</f>
        <v/>
      </c>
      <c r="B116" s="18">
        <f>IF($A116="","",IFERROR(INDEX('01-Cadastro-Motos'!$B$4:$B$123,MATCH($A116,'01-Cadastro-Motos'!$A$4:$A$123,0)),""))</f>
        <v/>
      </c>
      <c r="C116" s="15">
        <f>IF($A116="","",IFERROR(INDEX('01-Cadastro-Motos'!$I$4:$I$123,MATCH($A116,'01-Cadastro-Motos'!$A$4:$A$123,0)),""))</f>
        <v/>
      </c>
      <c r="D116" s="15">
        <f>IF($A116="","",IFERROR(INDEX('02-Custos-Diretos'!$J$4:$J$123,MATCH($A116,'02-Custos-Diretos'!$A$4:$A$123,0)),0))</f>
        <v/>
      </c>
      <c r="E116" s="15">
        <f>IF($A116="","",$C116*'00-Parametros'!$C$13*('00-Parametros'!$C$15/30))</f>
        <v/>
      </c>
      <c r="F116" s="15">
        <f>IF($A116="","",'00-Parametros'!$C$16)</f>
        <v/>
      </c>
      <c r="G116" s="15">
        <f>IF($A116="","",SUM(C116:F116))</f>
        <v/>
      </c>
      <c r="H116" s="21">
        <f>IF($A116="","",$G116/(1-(('00-Parametros'!$C$9+'00-Parametros'!$C$10+'00-Parametros'!$C$11+'00-Parametros'!$C$12)+'00-Parametros'!$C$5)))</f>
        <v/>
      </c>
      <c r="I116" s="21">
        <f>IF($A116="","",$G116/(1-(('00-Parametros'!$C$9+'00-Parametros'!$C$10+'00-Parametros'!$C$11+'00-Parametros'!$C$12)+'00-Parametros'!$C$6)))</f>
        <v/>
      </c>
      <c r="J116" s="21">
        <f>IF($A116="","",$G116/(1-(('00-Parametros'!$C$9+'00-Parametros'!$C$10+'00-Parametros'!$C$11+'00-Parametros'!$C$12)+'00-Parametros'!$C$7)))</f>
        <v/>
      </c>
      <c r="K116" s="21">
        <f>IF($A116="","",$G116/(1-(('00-Parametros'!$C$9+'00-Parametros'!$C$10+'00-Parametros'!$C$11+'00-Parametros'!$C$12)+'00-Parametros'!$C$8)))</f>
        <v/>
      </c>
      <c r="L116" s="19">
        <f>IF(OR($A116="",$M116="",$M116=0),"",$I116/$M116)</f>
        <v/>
      </c>
      <c r="M116" s="9" t="n"/>
    </row>
    <row r="117">
      <c r="A117" s="18">
        <f>IF('01-Cadastro-Motos'!$A117="","",'01-Cadastro-Motos'!$A117)</f>
        <v/>
      </c>
      <c r="B117" s="18">
        <f>IF($A117="","",IFERROR(INDEX('01-Cadastro-Motos'!$B$4:$B$123,MATCH($A117,'01-Cadastro-Motos'!$A$4:$A$123,0)),""))</f>
        <v/>
      </c>
      <c r="C117" s="15">
        <f>IF($A117="","",IFERROR(INDEX('01-Cadastro-Motos'!$I$4:$I$123,MATCH($A117,'01-Cadastro-Motos'!$A$4:$A$123,0)),""))</f>
        <v/>
      </c>
      <c r="D117" s="15">
        <f>IF($A117="","",IFERROR(INDEX('02-Custos-Diretos'!$J$4:$J$123,MATCH($A117,'02-Custos-Diretos'!$A$4:$A$123,0)),0))</f>
        <v/>
      </c>
      <c r="E117" s="15">
        <f>IF($A117="","",$C117*'00-Parametros'!$C$13*('00-Parametros'!$C$15/30))</f>
        <v/>
      </c>
      <c r="F117" s="15">
        <f>IF($A117="","",'00-Parametros'!$C$16)</f>
        <v/>
      </c>
      <c r="G117" s="15">
        <f>IF($A117="","",SUM(C117:F117))</f>
        <v/>
      </c>
      <c r="H117" s="21">
        <f>IF($A117="","",$G117/(1-(('00-Parametros'!$C$9+'00-Parametros'!$C$10+'00-Parametros'!$C$11+'00-Parametros'!$C$12)+'00-Parametros'!$C$5)))</f>
        <v/>
      </c>
      <c r="I117" s="21">
        <f>IF($A117="","",$G117/(1-(('00-Parametros'!$C$9+'00-Parametros'!$C$10+'00-Parametros'!$C$11+'00-Parametros'!$C$12)+'00-Parametros'!$C$6)))</f>
        <v/>
      </c>
      <c r="J117" s="21">
        <f>IF($A117="","",$G117/(1-(('00-Parametros'!$C$9+'00-Parametros'!$C$10+'00-Parametros'!$C$11+'00-Parametros'!$C$12)+'00-Parametros'!$C$7)))</f>
        <v/>
      </c>
      <c r="K117" s="21">
        <f>IF($A117="","",$G117/(1-(('00-Parametros'!$C$9+'00-Parametros'!$C$10+'00-Parametros'!$C$11+'00-Parametros'!$C$12)+'00-Parametros'!$C$8)))</f>
        <v/>
      </c>
      <c r="L117" s="19">
        <f>IF(OR($A117="",$M117="",$M117=0),"",$I117/$M117)</f>
        <v/>
      </c>
      <c r="M117" s="9" t="n"/>
    </row>
    <row r="118">
      <c r="A118" s="18">
        <f>IF('01-Cadastro-Motos'!$A118="","",'01-Cadastro-Motos'!$A118)</f>
        <v/>
      </c>
      <c r="B118" s="18">
        <f>IF($A118="","",IFERROR(INDEX('01-Cadastro-Motos'!$B$4:$B$123,MATCH($A118,'01-Cadastro-Motos'!$A$4:$A$123,0)),""))</f>
        <v/>
      </c>
      <c r="C118" s="15">
        <f>IF($A118="","",IFERROR(INDEX('01-Cadastro-Motos'!$I$4:$I$123,MATCH($A118,'01-Cadastro-Motos'!$A$4:$A$123,0)),""))</f>
        <v/>
      </c>
      <c r="D118" s="15">
        <f>IF($A118="","",IFERROR(INDEX('02-Custos-Diretos'!$J$4:$J$123,MATCH($A118,'02-Custos-Diretos'!$A$4:$A$123,0)),0))</f>
        <v/>
      </c>
      <c r="E118" s="15">
        <f>IF($A118="","",$C118*'00-Parametros'!$C$13*('00-Parametros'!$C$15/30))</f>
        <v/>
      </c>
      <c r="F118" s="15">
        <f>IF($A118="","",'00-Parametros'!$C$16)</f>
        <v/>
      </c>
      <c r="G118" s="15">
        <f>IF($A118="","",SUM(C118:F118))</f>
        <v/>
      </c>
      <c r="H118" s="21">
        <f>IF($A118="","",$G118/(1-(('00-Parametros'!$C$9+'00-Parametros'!$C$10+'00-Parametros'!$C$11+'00-Parametros'!$C$12)+'00-Parametros'!$C$5)))</f>
        <v/>
      </c>
      <c r="I118" s="21">
        <f>IF($A118="","",$G118/(1-(('00-Parametros'!$C$9+'00-Parametros'!$C$10+'00-Parametros'!$C$11+'00-Parametros'!$C$12)+'00-Parametros'!$C$6)))</f>
        <v/>
      </c>
      <c r="J118" s="21">
        <f>IF($A118="","",$G118/(1-(('00-Parametros'!$C$9+'00-Parametros'!$C$10+'00-Parametros'!$C$11+'00-Parametros'!$C$12)+'00-Parametros'!$C$7)))</f>
        <v/>
      </c>
      <c r="K118" s="21">
        <f>IF($A118="","",$G118/(1-(('00-Parametros'!$C$9+'00-Parametros'!$C$10+'00-Parametros'!$C$11+'00-Parametros'!$C$12)+'00-Parametros'!$C$8)))</f>
        <v/>
      </c>
      <c r="L118" s="19">
        <f>IF(OR($A118="",$M118="",$M118=0),"",$I118/$M118)</f>
        <v/>
      </c>
      <c r="M118" s="9" t="n"/>
    </row>
    <row r="119">
      <c r="A119" s="18">
        <f>IF('01-Cadastro-Motos'!$A119="","",'01-Cadastro-Motos'!$A119)</f>
        <v/>
      </c>
      <c r="B119" s="18">
        <f>IF($A119="","",IFERROR(INDEX('01-Cadastro-Motos'!$B$4:$B$123,MATCH($A119,'01-Cadastro-Motos'!$A$4:$A$123,0)),""))</f>
        <v/>
      </c>
      <c r="C119" s="15">
        <f>IF($A119="","",IFERROR(INDEX('01-Cadastro-Motos'!$I$4:$I$123,MATCH($A119,'01-Cadastro-Motos'!$A$4:$A$123,0)),""))</f>
        <v/>
      </c>
      <c r="D119" s="15">
        <f>IF($A119="","",IFERROR(INDEX('02-Custos-Diretos'!$J$4:$J$123,MATCH($A119,'02-Custos-Diretos'!$A$4:$A$123,0)),0))</f>
        <v/>
      </c>
      <c r="E119" s="15">
        <f>IF($A119="","",$C119*'00-Parametros'!$C$13*('00-Parametros'!$C$15/30))</f>
        <v/>
      </c>
      <c r="F119" s="15">
        <f>IF($A119="","",'00-Parametros'!$C$16)</f>
        <v/>
      </c>
      <c r="G119" s="15">
        <f>IF($A119="","",SUM(C119:F119))</f>
        <v/>
      </c>
      <c r="H119" s="21">
        <f>IF($A119="","",$G119/(1-(('00-Parametros'!$C$9+'00-Parametros'!$C$10+'00-Parametros'!$C$11+'00-Parametros'!$C$12)+'00-Parametros'!$C$5)))</f>
        <v/>
      </c>
      <c r="I119" s="21">
        <f>IF($A119="","",$G119/(1-(('00-Parametros'!$C$9+'00-Parametros'!$C$10+'00-Parametros'!$C$11+'00-Parametros'!$C$12)+'00-Parametros'!$C$6)))</f>
        <v/>
      </c>
      <c r="J119" s="21">
        <f>IF($A119="","",$G119/(1-(('00-Parametros'!$C$9+'00-Parametros'!$C$10+'00-Parametros'!$C$11+'00-Parametros'!$C$12)+'00-Parametros'!$C$7)))</f>
        <v/>
      </c>
      <c r="K119" s="21">
        <f>IF($A119="","",$G119/(1-(('00-Parametros'!$C$9+'00-Parametros'!$C$10+'00-Parametros'!$C$11+'00-Parametros'!$C$12)+'00-Parametros'!$C$8)))</f>
        <v/>
      </c>
      <c r="L119" s="19">
        <f>IF(OR($A119="",$M119="",$M119=0),"",$I119/$M119)</f>
        <v/>
      </c>
      <c r="M119" s="9" t="n"/>
    </row>
    <row r="120">
      <c r="A120" s="18">
        <f>IF('01-Cadastro-Motos'!$A120="","",'01-Cadastro-Motos'!$A120)</f>
        <v/>
      </c>
      <c r="B120" s="18">
        <f>IF($A120="","",IFERROR(INDEX('01-Cadastro-Motos'!$B$4:$B$123,MATCH($A120,'01-Cadastro-Motos'!$A$4:$A$123,0)),""))</f>
        <v/>
      </c>
      <c r="C120" s="15">
        <f>IF($A120="","",IFERROR(INDEX('01-Cadastro-Motos'!$I$4:$I$123,MATCH($A120,'01-Cadastro-Motos'!$A$4:$A$123,0)),""))</f>
        <v/>
      </c>
      <c r="D120" s="15">
        <f>IF($A120="","",IFERROR(INDEX('02-Custos-Diretos'!$J$4:$J$123,MATCH($A120,'02-Custos-Diretos'!$A$4:$A$123,0)),0))</f>
        <v/>
      </c>
      <c r="E120" s="15">
        <f>IF($A120="","",$C120*'00-Parametros'!$C$13*('00-Parametros'!$C$15/30))</f>
        <v/>
      </c>
      <c r="F120" s="15">
        <f>IF($A120="","",'00-Parametros'!$C$16)</f>
        <v/>
      </c>
      <c r="G120" s="15">
        <f>IF($A120="","",SUM(C120:F120))</f>
        <v/>
      </c>
      <c r="H120" s="21">
        <f>IF($A120="","",$G120/(1-(('00-Parametros'!$C$9+'00-Parametros'!$C$10+'00-Parametros'!$C$11+'00-Parametros'!$C$12)+'00-Parametros'!$C$5)))</f>
        <v/>
      </c>
      <c r="I120" s="21">
        <f>IF($A120="","",$G120/(1-(('00-Parametros'!$C$9+'00-Parametros'!$C$10+'00-Parametros'!$C$11+'00-Parametros'!$C$12)+'00-Parametros'!$C$6)))</f>
        <v/>
      </c>
      <c r="J120" s="21">
        <f>IF($A120="","",$G120/(1-(('00-Parametros'!$C$9+'00-Parametros'!$C$10+'00-Parametros'!$C$11+'00-Parametros'!$C$12)+'00-Parametros'!$C$7)))</f>
        <v/>
      </c>
      <c r="K120" s="21">
        <f>IF($A120="","",$G120/(1-(('00-Parametros'!$C$9+'00-Parametros'!$C$10+'00-Parametros'!$C$11+'00-Parametros'!$C$12)+'00-Parametros'!$C$8)))</f>
        <v/>
      </c>
      <c r="L120" s="19">
        <f>IF(OR($A120="",$M120="",$M120=0),"",$I120/$M120)</f>
        <v/>
      </c>
      <c r="M120" s="9" t="n"/>
    </row>
    <row r="121">
      <c r="A121" s="18">
        <f>IF('01-Cadastro-Motos'!$A121="","",'01-Cadastro-Motos'!$A121)</f>
        <v/>
      </c>
      <c r="B121" s="18">
        <f>IF($A121="","",IFERROR(INDEX('01-Cadastro-Motos'!$B$4:$B$123,MATCH($A121,'01-Cadastro-Motos'!$A$4:$A$123,0)),""))</f>
        <v/>
      </c>
      <c r="C121" s="15">
        <f>IF($A121="","",IFERROR(INDEX('01-Cadastro-Motos'!$I$4:$I$123,MATCH($A121,'01-Cadastro-Motos'!$A$4:$A$123,0)),""))</f>
        <v/>
      </c>
      <c r="D121" s="15">
        <f>IF($A121="","",IFERROR(INDEX('02-Custos-Diretos'!$J$4:$J$123,MATCH($A121,'02-Custos-Diretos'!$A$4:$A$123,0)),0))</f>
        <v/>
      </c>
      <c r="E121" s="15">
        <f>IF($A121="","",$C121*'00-Parametros'!$C$13*('00-Parametros'!$C$15/30))</f>
        <v/>
      </c>
      <c r="F121" s="15">
        <f>IF($A121="","",'00-Parametros'!$C$16)</f>
        <v/>
      </c>
      <c r="G121" s="15">
        <f>IF($A121="","",SUM(C121:F121))</f>
        <v/>
      </c>
      <c r="H121" s="21">
        <f>IF($A121="","",$G121/(1-(('00-Parametros'!$C$9+'00-Parametros'!$C$10+'00-Parametros'!$C$11+'00-Parametros'!$C$12)+'00-Parametros'!$C$5)))</f>
        <v/>
      </c>
      <c r="I121" s="21">
        <f>IF($A121="","",$G121/(1-(('00-Parametros'!$C$9+'00-Parametros'!$C$10+'00-Parametros'!$C$11+'00-Parametros'!$C$12)+'00-Parametros'!$C$6)))</f>
        <v/>
      </c>
      <c r="J121" s="21">
        <f>IF($A121="","",$G121/(1-(('00-Parametros'!$C$9+'00-Parametros'!$C$10+'00-Parametros'!$C$11+'00-Parametros'!$C$12)+'00-Parametros'!$C$7)))</f>
        <v/>
      </c>
      <c r="K121" s="21">
        <f>IF($A121="","",$G121/(1-(('00-Parametros'!$C$9+'00-Parametros'!$C$10+'00-Parametros'!$C$11+'00-Parametros'!$C$12)+'00-Parametros'!$C$8)))</f>
        <v/>
      </c>
      <c r="L121" s="19">
        <f>IF(OR($A121="",$M121="",$M121=0),"",$I121/$M121)</f>
        <v/>
      </c>
      <c r="M121" s="9" t="n"/>
    </row>
    <row r="122">
      <c r="A122" s="18">
        <f>IF('01-Cadastro-Motos'!$A122="","",'01-Cadastro-Motos'!$A122)</f>
        <v/>
      </c>
      <c r="B122" s="18">
        <f>IF($A122="","",IFERROR(INDEX('01-Cadastro-Motos'!$B$4:$B$123,MATCH($A122,'01-Cadastro-Motos'!$A$4:$A$123,0)),""))</f>
        <v/>
      </c>
      <c r="C122" s="15">
        <f>IF($A122="","",IFERROR(INDEX('01-Cadastro-Motos'!$I$4:$I$123,MATCH($A122,'01-Cadastro-Motos'!$A$4:$A$123,0)),""))</f>
        <v/>
      </c>
      <c r="D122" s="15">
        <f>IF($A122="","",IFERROR(INDEX('02-Custos-Diretos'!$J$4:$J$123,MATCH($A122,'02-Custos-Diretos'!$A$4:$A$123,0)),0))</f>
        <v/>
      </c>
      <c r="E122" s="15">
        <f>IF($A122="","",$C122*'00-Parametros'!$C$13*('00-Parametros'!$C$15/30))</f>
        <v/>
      </c>
      <c r="F122" s="15">
        <f>IF($A122="","",'00-Parametros'!$C$16)</f>
        <v/>
      </c>
      <c r="G122" s="15">
        <f>IF($A122="","",SUM(C122:F122))</f>
        <v/>
      </c>
      <c r="H122" s="21">
        <f>IF($A122="","",$G122/(1-(('00-Parametros'!$C$9+'00-Parametros'!$C$10+'00-Parametros'!$C$11+'00-Parametros'!$C$12)+'00-Parametros'!$C$5)))</f>
        <v/>
      </c>
      <c r="I122" s="21">
        <f>IF($A122="","",$G122/(1-(('00-Parametros'!$C$9+'00-Parametros'!$C$10+'00-Parametros'!$C$11+'00-Parametros'!$C$12)+'00-Parametros'!$C$6)))</f>
        <v/>
      </c>
      <c r="J122" s="21">
        <f>IF($A122="","",$G122/(1-(('00-Parametros'!$C$9+'00-Parametros'!$C$10+'00-Parametros'!$C$11+'00-Parametros'!$C$12)+'00-Parametros'!$C$7)))</f>
        <v/>
      </c>
      <c r="K122" s="21">
        <f>IF($A122="","",$G122/(1-(('00-Parametros'!$C$9+'00-Parametros'!$C$10+'00-Parametros'!$C$11+'00-Parametros'!$C$12)+'00-Parametros'!$C$8)))</f>
        <v/>
      </c>
      <c r="L122" s="19">
        <f>IF(OR($A122="",$M122="",$M122=0),"",$I122/$M122)</f>
        <v/>
      </c>
      <c r="M122" s="9" t="n"/>
    </row>
    <row r="123">
      <c r="A123" s="18">
        <f>IF('01-Cadastro-Motos'!$A123="","",'01-Cadastro-Motos'!$A123)</f>
        <v/>
      </c>
      <c r="B123" s="18">
        <f>IF($A123="","",IFERROR(INDEX('01-Cadastro-Motos'!$B$4:$B$123,MATCH($A123,'01-Cadastro-Motos'!$A$4:$A$123,0)),""))</f>
        <v/>
      </c>
      <c r="C123" s="15">
        <f>IF($A123="","",IFERROR(INDEX('01-Cadastro-Motos'!$I$4:$I$123,MATCH($A123,'01-Cadastro-Motos'!$A$4:$A$123,0)),""))</f>
        <v/>
      </c>
      <c r="D123" s="15">
        <f>IF($A123="","",IFERROR(INDEX('02-Custos-Diretos'!$J$4:$J$123,MATCH($A123,'02-Custos-Diretos'!$A$4:$A$123,0)),0))</f>
        <v/>
      </c>
      <c r="E123" s="15">
        <f>IF($A123="","",$C123*'00-Parametros'!$C$13*('00-Parametros'!$C$15/30))</f>
        <v/>
      </c>
      <c r="F123" s="15">
        <f>IF($A123="","",'00-Parametros'!$C$16)</f>
        <v/>
      </c>
      <c r="G123" s="15">
        <f>IF($A123="","",SUM(C123:F123))</f>
        <v/>
      </c>
      <c r="H123" s="21">
        <f>IF($A123="","",$G123/(1-(('00-Parametros'!$C$9+'00-Parametros'!$C$10+'00-Parametros'!$C$11+'00-Parametros'!$C$12)+'00-Parametros'!$C$5)))</f>
        <v/>
      </c>
      <c r="I123" s="21">
        <f>IF($A123="","",$G123/(1-(('00-Parametros'!$C$9+'00-Parametros'!$C$10+'00-Parametros'!$C$11+'00-Parametros'!$C$12)+'00-Parametros'!$C$6)))</f>
        <v/>
      </c>
      <c r="J123" s="21">
        <f>IF($A123="","",$G123/(1-(('00-Parametros'!$C$9+'00-Parametros'!$C$10+'00-Parametros'!$C$11+'00-Parametros'!$C$12)+'00-Parametros'!$C$7)))</f>
        <v/>
      </c>
      <c r="K123" s="21">
        <f>IF($A123="","",$G123/(1-(('00-Parametros'!$C$9+'00-Parametros'!$C$10+'00-Parametros'!$C$11+'00-Parametros'!$C$12)+'00-Parametros'!$C$8)))</f>
        <v/>
      </c>
      <c r="L123" s="19">
        <f>IF(OR($A123="",$M123="",$M123=0),"",$I123/$M123)</f>
        <v/>
      </c>
      <c r="M123" s="9" t="n"/>
    </row>
  </sheetData>
  <conditionalFormatting sqref="K4:K123">
    <cfRule type="cellIs" priority="1" operator="greaterThan" dxfId="0">
      <formula>0</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3"/>
  <sheetViews>
    <sheetView workbookViewId="0">
      <pane ySplit="3" topLeftCell="A4" activePane="bottomLeft" state="frozen"/>
      <selection pane="bottomLeft" activeCell="A1" sqref="A1"/>
    </sheetView>
  </sheetViews>
  <sheetFormatPr baseColWidth="8" defaultRowHeight="15" outlineLevelCol="0"/>
  <cols>
    <col width="12" customWidth="1" min="1" max="1"/>
    <col width="22" customWidth="1" min="2" max="2"/>
    <col width="10" customWidth="1" min="3" max="3"/>
    <col width="14" customWidth="1" min="4" max="4"/>
    <col width="14" customWidth="1" min="5" max="5"/>
    <col width="16" customWidth="1" min="6" max="6"/>
    <col width="18" customWidth="1" min="7" max="7"/>
    <col width="16" customWidth="1" min="8" max="8"/>
    <col width="16" customWidth="1" min="9" max="9"/>
  </cols>
  <sheetData>
    <row r="1">
      <c r="A1" s="1" t="inlineStr">
        <is>
          <t>Precificação Dinâmica e Saúde do Estoque (Pilares 5 e 10)</t>
        </is>
      </c>
    </row>
    <row r="3">
      <c r="A3" s="4" t="inlineStr">
        <is>
          <t>ID Moto</t>
        </is>
      </c>
      <c r="B3" s="4" t="inlineStr">
        <is>
          <t>Modelo (auto)</t>
        </is>
      </c>
      <c r="C3" s="4" t="inlineStr">
        <is>
          <t>Status</t>
        </is>
      </c>
      <c r="D3" s="4" t="inlineStr">
        <is>
          <t>Dias em Estoque</t>
        </is>
      </c>
      <c r="E3" s="4" t="inlineStr">
        <is>
          <t>Fase do Ciclo</t>
        </is>
      </c>
      <c r="F3" s="4" t="inlineStr">
        <is>
          <t>Classificação Saúde</t>
        </is>
      </c>
      <c r="G3" s="4" t="inlineStr">
        <is>
          <t>Preço Sugerido Hoje (R$)</t>
        </is>
      </c>
      <c r="H3" s="4" t="inlineStr">
        <is>
          <t>Capital Parado (R$)</t>
        </is>
      </c>
      <c r="I3" s="4" t="inlineStr">
        <is>
          <t>Revisão Gerencial?</t>
        </is>
      </c>
    </row>
    <row r="4">
      <c r="A4" s="18">
        <f>IF('01-Cadastro-Motos'!$A4="","",'01-Cadastro-Motos'!$A4)</f>
        <v/>
      </c>
      <c r="B4" s="18">
        <f>IF($A4="","",IFERROR(INDEX('01-Cadastro-Motos'!$B$4:$B$123,MATCH($A4,'01-Cadastro-Motos'!$A$4:$A$123,0)),""))</f>
        <v/>
      </c>
      <c r="C4" s="18">
        <f>IF($A4="","",IFERROR(INDEX('01-Cadastro-Motos'!$K$4:$K$123,MATCH($A4,'01-Cadastro-Motos'!$A$4:$A$123,0)),""))</f>
        <v/>
      </c>
      <c r="D4" s="22">
        <f>IF($A4="","",IFERROR(INDEX('01-Cadastro-Motos'!$P$4:$P$123,MATCH($A4,'01-Cadastro-Motos'!$A$4:$A$123,0)),""))</f>
        <v/>
      </c>
      <c r="E4" s="18">
        <f>IF(OR($A4="",$D4=""),"",IF($D4&lt;='00-Parametros'!$C$17,"Fase 1 - Lançamento (0-30)",IF($D4&lt;='00-Parametros'!$C$18,"Fase 2 - Consolidação (31-60)",IF($D4&lt;='00-Parametros'!$C$19,"Fase 3 - Aceleração de Giro (61-90)","Fase 4 - Estoque Envelhecido (&gt;90)"))))</f>
        <v/>
      </c>
      <c r="F4" s="18">
        <f>IF(OR($A4="",$D4=""),"",IF($D4&lt;='00-Parametros'!$C$20,"Estoque Premium",IF($D4&lt;='00-Parametros'!$C$21,"Estoque Saudável",IF($D4&lt;='00-Parametros'!$C$22,"Estoque Atenção","Estoque Crítico"))))</f>
        <v/>
      </c>
      <c r="G4" s="15">
        <f>IF(OR($A4="",$D4=""),"",IF($D4&lt;='00-Parametros'!$C$17,IFERROR(INDEX('06-Precificacao'!$H$4:$H$123,MATCH($A4,'06-Precificacao'!$A$4:$A$123,0)),0),IF($D4&lt;='00-Parametros'!$C$18,IFERROR(INDEX('06-Precificacao'!$I$4:$I$123,MATCH($A4,'06-Precificacao'!$A$4:$A$123,0)),0),IFERROR(INDEX('06-Precificacao'!$J$4:$J$123,MATCH($A4,'06-Precificacao'!$A$4:$A$123,0)),0))))</f>
        <v/>
      </c>
      <c r="H4" s="15">
        <f>IF(OR($A4="",$C4=""),"",IF($C4&lt;&gt;"Vendida",IFERROR(INDEX('01-Cadastro-Motos'!$I$4:$I$123,MATCH($A4,'01-Cadastro-Motos'!$A$4:$A$123,0)),""),0))</f>
        <v/>
      </c>
      <c r="I4" s="18">
        <f>IF(OR($A4="",$D4=""),"",IF($D4&gt;'00-Parametros'!$C$19,"SIM - ver Pilar 10.4","Não"))</f>
        <v/>
      </c>
    </row>
    <row r="5">
      <c r="A5" s="18">
        <f>IF('01-Cadastro-Motos'!$A5="","",'01-Cadastro-Motos'!$A5)</f>
        <v/>
      </c>
      <c r="B5" s="18">
        <f>IF($A5="","",IFERROR(INDEX('01-Cadastro-Motos'!$B$4:$B$123,MATCH($A5,'01-Cadastro-Motos'!$A$4:$A$123,0)),""))</f>
        <v/>
      </c>
      <c r="C5" s="18">
        <f>IF($A5="","",IFERROR(INDEX('01-Cadastro-Motos'!$K$4:$K$123,MATCH($A5,'01-Cadastro-Motos'!$A$4:$A$123,0)),""))</f>
        <v/>
      </c>
      <c r="D5" s="22">
        <f>IF($A5="","",IFERROR(INDEX('01-Cadastro-Motos'!$P$4:$P$123,MATCH($A5,'01-Cadastro-Motos'!$A$4:$A$123,0)),""))</f>
        <v/>
      </c>
      <c r="E5" s="18">
        <f>IF(OR($A5="",$D5=""),"",IF($D5&lt;='00-Parametros'!$C$17,"Fase 1 - Lançamento (0-30)",IF($D5&lt;='00-Parametros'!$C$18,"Fase 2 - Consolidação (31-60)",IF($D5&lt;='00-Parametros'!$C$19,"Fase 3 - Aceleração de Giro (61-90)","Fase 4 - Estoque Envelhecido (&gt;90)"))))</f>
        <v/>
      </c>
      <c r="F5" s="18">
        <f>IF(OR($A5="",$D5=""),"",IF($D5&lt;='00-Parametros'!$C$20,"Estoque Premium",IF($D5&lt;='00-Parametros'!$C$21,"Estoque Saudável",IF($D5&lt;='00-Parametros'!$C$22,"Estoque Atenção","Estoque Crítico"))))</f>
        <v/>
      </c>
      <c r="G5" s="15">
        <f>IF(OR($A5="",$D5=""),"",IF($D5&lt;='00-Parametros'!$C$17,IFERROR(INDEX('06-Precificacao'!$H$4:$H$123,MATCH($A5,'06-Precificacao'!$A$4:$A$123,0)),0),IF($D5&lt;='00-Parametros'!$C$18,IFERROR(INDEX('06-Precificacao'!$I$4:$I$123,MATCH($A5,'06-Precificacao'!$A$4:$A$123,0)),0),IFERROR(INDEX('06-Precificacao'!$J$4:$J$123,MATCH($A5,'06-Precificacao'!$A$4:$A$123,0)),0))))</f>
        <v/>
      </c>
      <c r="H5" s="15">
        <f>IF(OR($A5="",$C5=""),"",IF($C5&lt;&gt;"Vendida",IFERROR(INDEX('01-Cadastro-Motos'!$I$4:$I$123,MATCH($A5,'01-Cadastro-Motos'!$A$4:$A$123,0)),""),0))</f>
        <v/>
      </c>
      <c r="I5" s="18">
        <f>IF(OR($A5="",$D5=""),"",IF($D5&gt;'00-Parametros'!$C$19,"SIM - ver Pilar 10.4","Não"))</f>
        <v/>
      </c>
    </row>
    <row r="6">
      <c r="A6" s="18">
        <f>IF('01-Cadastro-Motos'!$A6="","",'01-Cadastro-Motos'!$A6)</f>
        <v/>
      </c>
      <c r="B6" s="18">
        <f>IF($A6="","",IFERROR(INDEX('01-Cadastro-Motos'!$B$4:$B$123,MATCH($A6,'01-Cadastro-Motos'!$A$4:$A$123,0)),""))</f>
        <v/>
      </c>
      <c r="C6" s="18">
        <f>IF($A6="","",IFERROR(INDEX('01-Cadastro-Motos'!$K$4:$K$123,MATCH($A6,'01-Cadastro-Motos'!$A$4:$A$123,0)),""))</f>
        <v/>
      </c>
      <c r="D6" s="22">
        <f>IF($A6="","",IFERROR(INDEX('01-Cadastro-Motos'!$P$4:$P$123,MATCH($A6,'01-Cadastro-Motos'!$A$4:$A$123,0)),""))</f>
        <v/>
      </c>
      <c r="E6" s="18">
        <f>IF(OR($A6="",$D6=""),"",IF($D6&lt;='00-Parametros'!$C$17,"Fase 1 - Lançamento (0-30)",IF($D6&lt;='00-Parametros'!$C$18,"Fase 2 - Consolidação (31-60)",IF($D6&lt;='00-Parametros'!$C$19,"Fase 3 - Aceleração de Giro (61-90)","Fase 4 - Estoque Envelhecido (&gt;90)"))))</f>
        <v/>
      </c>
      <c r="F6" s="18">
        <f>IF(OR($A6="",$D6=""),"",IF($D6&lt;='00-Parametros'!$C$20,"Estoque Premium",IF($D6&lt;='00-Parametros'!$C$21,"Estoque Saudável",IF($D6&lt;='00-Parametros'!$C$22,"Estoque Atenção","Estoque Crítico"))))</f>
        <v/>
      </c>
      <c r="G6" s="15">
        <f>IF(OR($A6="",$D6=""),"",IF($D6&lt;='00-Parametros'!$C$17,IFERROR(INDEX('06-Precificacao'!$H$4:$H$123,MATCH($A6,'06-Precificacao'!$A$4:$A$123,0)),0),IF($D6&lt;='00-Parametros'!$C$18,IFERROR(INDEX('06-Precificacao'!$I$4:$I$123,MATCH($A6,'06-Precificacao'!$A$4:$A$123,0)),0),IFERROR(INDEX('06-Precificacao'!$J$4:$J$123,MATCH($A6,'06-Precificacao'!$A$4:$A$123,0)),0))))</f>
        <v/>
      </c>
      <c r="H6" s="15">
        <f>IF(OR($A6="",$C6=""),"",IF($C6&lt;&gt;"Vendida",IFERROR(INDEX('01-Cadastro-Motos'!$I$4:$I$123,MATCH($A6,'01-Cadastro-Motos'!$A$4:$A$123,0)),""),0))</f>
        <v/>
      </c>
      <c r="I6" s="18">
        <f>IF(OR($A6="",$D6=""),"",IF($D6&gt;'00-Parametros'!$C$19,"SIM - ver Pilar 10.4","Não"))</f>
        <v/>
      </c>
    </row>
    <row r="7">
      <c r="A7" s="18">
        <f>IF('01-Cadastro-Motos'!$A7="","",'01-Cadastro-Motos'!$A7)</f>
        <v/>
      </c>
      <c r="B7" s="18">
        <f>IF($A7="","",IFERROR(INDEX('01-Cadastro-Motos'!$B$4:$B$123,MATCH($A7,'01-Cadastro-Motos'!$A$4:$A$123,0)),""))</f>
        <v/>
      </c>
      <c r="C7" s="18">
        <f>IF($A7="","",IFERROR(INDEX('01-Cadastro-Motos'!$K$4:$K$123,MATCH($A7,'01-Cadastro-Motos'!$A$4:$A$123,0)),""))</f>
        <v/>
      </c>
      <c r="D7" s="22">
        <f>IF($A7="","",IFERROR(INDEX('01-Cadastro-Motos'!$P$4:$P$123,MATCH($A7,'01-Cadastro-Motos'!$A$4:$A$123,0)),""))</f>
        <v/>
      </c>
      <c r="E7" s="18">
        <f>IF(OR($A7="",$D7=""),"",IF($D7&lt;='00-Parametros'!$C$17,"Fase 1 - Lançamento (0-30)",IF($D7&lt;='00-Parametros'!$C$18,"Fase 2 - Consolidação (31-60)",IF($D7&lt;='00-Parametros'!$C$19,"Fase 3 - Aceleração de Giro (61-90)","Fase 4 - Estoque Envelhecido (&gt;90)"))))</f>
        <v/>
      </c>
      <c r="F7" s="18">
        <f>IF(OR($A7="",$D7=""),"",IF($D7&lt;='00-Parametros'!$C$20,"Estoque Premium",IF($D7&lt;='00-Parametros'!$C$21,"Estoque Saudável",IF($D7&lt;='00-Parametros'!$C$22,"Estoque Atenção","Estoque Crítico"))))</f>
        <v/>
      </c>
      <c r="G7" s="15">
        <f>IF(OR($A7="",$D7=""),"",IF($D7&lt;='00-Parametros'!$C$17,IFERROR(INDEX('06-Precificacao'!$H$4:$H$123,MATCH($A7,'06-Precificacao'!$A$4:$A$123,0)),0),IF($D7&lt;='00-Parametros'!$C$18,IFERROR(INDEX('06-Precificacao'!$I$4:$I$123,MATCH($A7,'06-Precificacao'!$A$4:$A$123,0)),0),IFERROR(INDEX('06-Precificacao'!$J$4:$J$123,MATCH($A7,'06-Precificacao'!$A$4:$A$123,0)),0))))</f>
        <v/>
      </c>
      <c r="H7" s="15">
        <f>IF(OR($A7="",$C7=""),"",IF($C7&lt;&gt;"Vendida",IFERROR(INDEX('01-Cadastro-Motos'!$I$4:$I$123,MATCH($A7,'01-Cadastro-Motos'!$A$4:$A$123,0)),""),0))</f>
        <v/>
      </c>
      <c r="I7" s="18">
        <f>IF(OR($A7="",$D7=""),"",IF($D7&gt;'00-Parametros'!$C$19,"SIM - ver Pilar 10.4","Não"))</f>
        <v/>
      </c>
    </row>
    <row r="8">
      <c r="A8" s="18">
        <f>IF('01-Cadastro-Motos'!$A8="","",'01-Cadastro-Motos'!$A8)</f>
        <v/>
      </c>
      <c r="B8" s="18">
        <f>IF($A8="","",IFERROR(INDEX('01-Cadastro-Motos'!$B$4:$B$123,MATCH($A8,'01-Cadastro-Motos'!$A$4:$A$123,0)),""))</f>
        <v/>
      </c>
      <c r="C8" s="18">
        <f>IF($A8="","",IFERROR(INDEX('01-Cadastro-Motos'!$K$4:$K$123,MATCH($A8,'01-Cadastro-Motos'!$A$4:$A$123,0)),""))</f>
        <v/>
      </c>
      <c r="D8" s="22">
        <f>IF($A8="","",IFERROR(INDEX('01-Cadastro-Motos'!$P$4:$P$123,MATCH($A8,'01-Cadastro-Motos'!$A$4:$A$123,0)),""))</f>
        <v/>
      </c>
      <c r="E8" s="18">
        <f>IF(OR($A8="",$D8=""),"",IF($D8&lt;='00-Parametros'!$C$17,"Fase 1 - Lançamento (0-30)",IF($D8&lt;='00-Parametros'!$C$18,"Fase 2 - Consolidação (31-60)",IF($D8&lt;='00-Parametros'!$C$19,"Fase 3 - Aceleração de Giro (61-90)","Fase 4 - Estoque Envelhecido (&gt;90)"))))</f>
        <v/>
      </c>
      <c r="F8" s="18">
        <f>IF(OR($A8="",$D8=""),"",IF($D8&lt;='00-Parametros'!$C$20,"Estoque Premium",IF($D8&lt;='00-Parametros'!$C$21,"Estoque Saudável",IF($D8&lt;='00-Parametros'!$C$22,"Estoque Atenção","Estoque Crítico"))))</f>
        <v/>
      </c>
      <c r="G8" s="15">
        <f>IF(OR($A8="",$D8=""),"",IF($D8&lt;='00-Parametros'!$C$17,IFERROR(INDEX('06-Precificacao'!$H$4:$H$123,MATCH($A8,'06-Precificacao'!$A$4:$A$123,0)),0),IF($D8&lt;='00-Parametros'!$C$18,IFERROR(INDEX('06-Precificacao'!$I$4:$I$123,MATCH($A8,'06-Precificacao'!$A$4:$A$123,0)),0),IFERROR(INDEX('06-Precificacao'!$J$4:$J$123,MATCH($A8,'06-Precificacao'!$A$4:$A$123,0)),0))))</f>
        <v/>
      </c>
      <c r="H8" s="15">
        <f>IF(OR($A8="",$C8=""),"",IF($C8&lt;&gt;"Vendida",IFERROR(INDEX('01-Cadastro-Motos'!$I$4:$I$123,MATCH($A8,'01-Cadastro-Motos'!$A$4:$A$123,0)),""),0))</f>
        <v/>
      </c>
      <c r="I8" s="18">
        <f>IF(OR($A8="",$D8=""),"",IF($D8&gt;'00-Parametros'!$C$19,"SIM - ver Pilar 10.4","Não"))</f>
        <v/>
      </c>
    </row>
    <row r="9">
      <c r="A9" s="18">
        <f>IF('01-Cadastro-Motos'!$A9="","",'01-Cadastro-Motos'!$A9)</f>
        <v/>
      </c>
      <c r="B9" s="18">
        <f>IF($A9="","",IFERROR(INDEX('01-Cadastro-Motos'!$B$4:$B$123,MATCH($A9,'01-Cadastro-Motos'!$A$4:$A$123,0)),""))</f>
        <v/>
      </c>
      <c r="C9" s="18">
        <f>IF($A9="","",IFERROR(INDEX('01-Cadastro-Motos'!$K$4:$K$123,MATCH($A9,'01-Cadastro-Motos'!$A$4:$A$123,0)),""))</f>
        <v/>
      </c>
      <c r="D9" s="22">
        <f>IF($A9="","",IFERROR(INDEX('01-Cadastro-Motos'!$P$4:$P$123,MATCH($A9,'01-Cadastro-Motos'!$A$4:$A$123,0)),""))</f>
        <v/>
      </c>
      <c r="E9" s="18">
        <f>IF(OR($A9="",$D9=""),"",IF($D9&lt;='00-Parametros'!$C$17,"Fase 1 - Lançamento (0-30)",IF($D9&lt;='00-Parametros'!$C$18,"Fase 2 - Consolidação (31-60)",IF($D9&lt;='00-Parametros'!$C$19,"Fase 3 - Aceleração de Giro (61-90)","Fase 4 - Estoque Envelhecido (&gt;90)"))))</f>
        <v/>
      </c>
      <c r="F9" s="18">
        <f>IF(OR($A9="",$D9=""),"",IF($D9&lt;='00-Parametros'!$C$20,"Estoque Premium",IF($D9&lt;='00-Parametros'!$C$21,"Estoque Saudável",IF($D9&lt;='00-Parametros'!$C$22,"Estoque Atenção","Estoque Crítico"))))</f>
        <v/>
      </c>
      <c r="G9" s="15">
        <f>IF(OR($A9="",$D9=""),"",IF($D9&lt;='00-Parametros'!$C$17,IFERROR(INDEX('06-Precificacao'!$H$4:$H$123,MATCH($A9,'06-Precificacao'!$A$4:$A$123,0)),0),IF($D9&lt;='00-Parametros'!$C$18,IFERROR(INDEX('06-Precificacao'!$I$4:$I$123,MATCH($A9,'06-Precificacao'!$A$4:$A$123,0)),0),IFERROR(INDEX('06-Precificacao'!$J$4:$J$123,MATCH($A9,'06-Precificacao'!$A$4:$A$123,0)),0))))</f>
        <v/>
      </c>
      <c r="H9" s="15">
        <f>IF(OR($A9="",$C9=""),"",IF($C9&lt;&gt;"Vendida",IFERROR(INDEX('01-Cadastro-Motos'!$I$4:$I$123,MATCH($A9,'01-Cadastro-Motos'!$A$4:$A$123,0)),""),0))</f>
        <v/>
      </c>
      <c r="I9" s="18">
        <f>IF(OR($A9="",$D9=""),"",IF($D9&gt;'00-Parametros'!$C$19,"SIM - ver Pilar 10.4","Não"))</f>
        <v/>
      </c>
    </row>
    <row r="10">
      <c r="A10" s="18">
        <f>IF('01-Cadastro-Motos'!$A10="","",'01-Cadastro-Motos'!$A10)</f>
        <v/>
      </c>
      <c r="B10" s="18">
        <f>IF($A10="","",IFERROR(INDEX('01-Cadastro-Motos'!$B$4:$B$123,MATCH($A10,'01-Cadastro-Motos'!$A$4:$A$123,0)),""))</f>
        <v/>
      </c>
      <c r="C10" s="18">
        <f>IF($A10="","",IFERROR(INDEX('01-Cadastro-Motos'!$K$4:$K$123,MATCH($A10,'01-Cadastro-Motos'!$A$4:$A$123,0)),""))</f>
        <v/>
      </c>
      <c r="D10" s="22">
        <f>IF($A10="","",IFERROR(INDEX('01-Cadastro-Motos'!$P$4:$P$123,MATCH($A10,'01-Cadastro-Motos'!$A$4:$A$123,0)),""))</f>
        <v/>
      </c>
      <c r="E10" s="18">
        <f>IF(OR($A10="",$D10=""),"",IF($D10&lt;='00-Parametros'!$C$17,"Fase 1 - Lançamento (0-30)",IF($D10&lt;='00-Parametros'!$C$18,"Fase 2 - Consolidação (31-60)",IF($D10&lt;='00-Parametros'!$C$19,"Fase 3 - Aceleração de Giro (61-90)","Fase 4 - Estoque Envelhecido (&gt;90)"))))</f>
        <v/>
      </c>
      <c r="F10" s="18">
        <f>IF(OR($A10="",$D10=""),"",IF($D10&lt;='00-Parametros'!$C$20,"Estoque Premium",IF($D10&lt;='00-Parametros'!$C$21,"Estoque Saudável",IF($D10&lt;='00-Parametros'!$C$22,"Estoque Atenção","Estoque Crítico"))))</f>
        <v/>
      </c>
      <c r="G10" s="15">
        <f>IF(OR($A10="",$D10=""),"",IF($D10&lt;='00-Parametros'!$C$17,IFERROR(INDEX('06-Precificacao'!$H$4:$H$123,MATCH($A10,'06-Precificacao'!$A$4:$A$123,0)),0),IF($D10&lt;='00-Parametros'!$C$18,IFERROR(INDEX('06-Precificacao'!$I$4:$I$123,MATCH($A10,'06-Precificacao'!$A$4:$A$123,0)),0),IFERROR(INDEX('06-Precificacao'!$J$4:$J$123,MATCH($A10,'06-Precificacao'!$A$4:$A$123,0)),0))))</f>
        <v/>
      </c>
      <c r="H10" s="15">
        <f>IF(OR($A10="",$C10=""),"",IF($C10&lt;&gt;"Vendida",IFERROR(INDEX('01-Cadastro-Motos'!$I$4:$I$123,MATCH($A10,'01-Cadastro-Motos'!$A$4:$A$123,0)),""),0))</f>
        <v/>
      </c>
      <c r="I10" s="18">
        <f>IF(OR($A10="",$D10=""),"",IF($D10&gt;'00-Parametros'!$C$19,"SIM - ver Pilar 10.4","Não"))</f>
        <v/>
      </c>
    </row>
    <row r="11">
      <c r="A11" s="18">
        <f>IF('01-Cadastro-Motos'!$A11="","",'01-Cadastro-Motos'!$A11)</f>
        <v/>
      </c>
      <c r="B11" s="18">
        <f>IF($A11="","",IFERROR(INDEX('01-Cadastro-Motos'!$B$4:$B$123,MATCH($A11,'01-Cadastro-Motos'!$A$4:$A$123,0)),""))</f>
        <v/>
      </c>
      <c r="C11" s="18">
        <f>IF($A11="","",IFERROR(INDEX('01-Cadastro-Motos'!$K$4:$K$123,MATCH($A11,'01-Cadastro-Motos'!$A$4:$A$123,0)),""))</f>
        <v/>
      </c>
      <c r="D11" s="22">
        <f>IF($A11="","",IFERROR(INDEX('01-Cadastro-Motos'!$P$4:$P$123,MATCH($A11,'01-Cadastro-Motos'!$A$4:$A$123,0)),""))</f>
        <v/>
      </c>
      <c r="E11" s="18">
        <f>IF(OR($A11="",$D11=""),"",IF($D11&lt;='00-Parametros'!$C$17,"Fase 1 - Lançamento (0-30)",IF($D11&lt;='00-Parametros'!$C$18,"Fase 2 - Consolidação (31-60)",IF($D11&lt;='00-Parametros'!$C$19,"Fase 3 - Aceleração de Giro (61-90)","Fase 4 - Estoque Envelhecido (&gt;90)"))))</f>
        <v/>
      </c>
      <c r="F11" s="18">
        <f>IF(OR($A11="",$D11=""),"",IF($D11&lt;='00-Parametros'!$C$20,"Estoque Premium",IF($D11&lt;='00-Parametros'!$C$21,"Estoque Saudável",IF($D11&lt;='00-Parametros'!$C$22,"Estoque Atenção","Estoque Crítico"))))</f>
        <v/>
      </c>
      <c r="G11" s="15">
        <f>IF(OR($A11="",$D11=""),"",IF($D11&lt;='00-Parametros'!$C$17,IFERROR(INDEX('06-Precificacao'!$H$4:$H$123,MATCH($A11,'06-Precificacao'!$A$4:$A$123,0)),0),IF($D11&lt;='00-Parametros'!$C$18,IFERROR(INDEX('06-Precificacao'!$I$4:$I$123,MATCH($A11,'06-Precificacao'!$A$4:$A$123,0)),0),IFERROR(INDEX('06-Precificacao'!$J$4:$J$123,MATCH($A11,'06-Precificacao'!$A$4:$A$123,0)),0))))</f>
        <v/>
      </c>
      <c r="H11" s="15">
        <f>IF(OR($A11="",$C11=""),"",IF($C11&lt;&gt;"Vendida",IFERROR(INDEX('01-Cadastro-Motos'!$I$4:$I$123,MATCH($A11,'01-Cadastro-Motos'!$A$4:$A$123,0)),""),0))</f>
        <v/>
      </c>
      <c r="I11" s="18">
        <f>IF(OR($A11="",$D11=""),"",IF($D11&gt;'00-Parametros'!$C$19,"SIM - ver Pilar 10.4","Não"))</f>
        <v/>
      </c>
    </row>
    <row r="12">
      <c r="A12" s="18">
        <f>IF('01-Cadastro-Motos'!$A12="","",'01-Cadastro-Motos'!$A12)</f>
        <v/>
      </c>
      <c r="B12" s="18">
        <f>IF($A12="","",IFERROR(INDEX('01-Cadastro-Motos'!$B$4:$B$123,MATCH($A12,'01-Cadastro-Motos'!$A$4:$A$123,0)),""))</f>
        <v/>
      </c>
      <c r="C12" s="18">
        <f>IF($A12="","",IFERROR(INDEX('01-Cadastro-Motos'!$K$4:$K$123,MATCH($A12,'01-Cadastro-Motos'!$A$4:$A$123,0)),""))</f>
        <v/>
      </c>
      <c r="D12" s="22">
        <f>IF($A12="","",IFERROR(INDEX('01-Cadastro-Motos'!$P$4:$P$123,MATCH($A12,'01-Cadastro-Motos'!$A$4:$A$123,0)),""))</f>
        <v/>
      </c>
      <c r="E12" s="18">
        <f>IF(OR($A12="",$D12=""),"",IF($D12&lt;='00-Parametros'!$C$17,"Fase 1 - Lançamento (0-30)",IF($D12&lt;='00-Parametros'!$C$18,"Fase 2 - Consolidação (31-60)",IF($D12&lt;='00-Parametros'!$C$19,"Fase 3 - Aceleração de Giro (61-90)","Fase 4 - Estoque Envelhecido (&gt;90)"))))</f>
        <v/>
      </c>
      <c r="F12" s="18">
        <f>IF(OR($A12="",$D12=""),"",IF($D12&lt;='00-Parametros'!$C$20,"Estoque Premium",IF($D12&lt;='00-Parametros'!$C$21,"Estoque Saudável",IF($D12&lt;='00-Parametros'!$C$22,"Estoque Atenção","Estoque Crítico"))))</f>
        <v/>
      </c>
      <c r="G12" s="15">
        <f>IF(OR($A12="",$D12=""),"",IF($D12&lt;='00-Parametros'!$C$17,IFERROR(INDEX('06-Precificacao'!$H$4:$H$123,MATCH($A12,'06-Precificacao'!$A$4:$A$123,0)),0),IF($D12&lt;='00-Parametros'!$C$18,IFERROR(INDEX('06-Precificacao'!$I$4:$I$123,MATCH($A12,'06-Precificacao'!$A$4:$A$123,0)),0),IFERROR(INDEX('06-Precificacao'!$J$4:$J$123,MATCH($A12,'06-Precificacao'!$A$4:$A$123,0)),0))))</f>
        <v/>
      </c>
      <c r="H12" s="15">
        <f>IF(OR($A12="",$C12=""),"",IF($C12&lt;&gt;"Vendida",IFERROR(INDEX('01-Cadastro-Motos'!$I$4:$I$123,MATCH($A12,'01-Cadastro-Motos'!$A$4:$A$123,0)),""),0))</f>
        <v/>
      </c>
      <c r="I12" s="18">
        <f>IF(OR($A12="",$D12=""),"",IF($D12&gt;'00-Parametros'!$C$19,"SIM - ver Pilar 10.4","Não"))</f>
        <v/>
      </c>
    </row>
    <row r="13">
      <c r="A13" s="18">
        <f>IF('01-Cadastro-Motos'!$A13="","",'01-Cadastro-Motos'!$A13)</f>
        <v/>
      </c>
      <c r="B13" s="18">
        <f>IF($A13="","",IFERROR(INDEX('01-Cadastro-Motos'!$B$4:$B$123,MATCH($A13,'01-Cadastro-Motos'!$A$4:$A$123,0)),""))</f>
        <v/>
      </c>
      <c r="C13" s="18">
        <f>IF($A13="","",IFERROR(INDEX('01-Cadastro-Motos'!$K$4:$K$123,MATCH($A13,'01-Cadastro-Motos'!$A$4:$A$123,0)),""))</f>
        <v/>
      </c>
      <c r="D13" s="22">
        <f>IF($A13="","",IFERROR(INDEX('01-Cadastro-Motos'!$P$4:$P$123,MATCH($A13,'01-Cadastro-Motos'!$A$4:$A$123,0)),""))</f>
        <v/>
      </c>
      <c r="E13" s="18">
        <f>IF(OR($A13="",$D13=""),"",IF($D13&lt;='00-Parametros'!$C$17,"Fase 1 - Lançamento (0-30)",IF($D13&lt;='00-Parametros'!$C$18,"Fase 2 - Consolidação (31-60)",IF($D13&lt;='00-Parametros'!$C$19,"Fase 3 - Aceleração de Giro (61-90)","Fase 4 - Estoque Envelhecido (&gt;90)"))))</f>
        <v/>
      </c>
      <c r="F13" s="18">
        <f>IF(OR($A13="",$D13=""),"",IF($D13&lt;='00-Parametros'!$C$20,"Estoque Premium",IF($D13&lt;='00-Parametros'!$C$21,"Estoque Saudável",IF($D13&lt;='00-Parametros'!$C$22,"Estoque Atenção","Estoque Crítico"))))</f>
        <v/>
      </c>
      <c r="G13" s="15">
        <f>IF(OR($A13="",$D13=""),"",IF($D13&lt;='00-Parametros'!$C$17,IFERROR(INDEX('06-Precificacao'!$H$4:$H$123,MATCH($A13,'06-Precificacao'!$A$4:$A$123,0)),0),IF($D13&lt;='00-Parametros'!$C$18,IFERROR(INDEX('06-Precificacao'!$I$4:$I$123,MATCH($A13,'06-Precificacao'!$A$4:$A$123,0)),0),IFERROR(INDEX('06-Precificacao'!$J$4:$J$123,MATCH($A13,'06-Precificacao'!$A$4:$A$123,0)),0))))</f>
        <v/>
      </c>
      <c r="H13" s="15">
        <f>IF(OR($A13="",$C13=""),"",IF($C13&lt;&gt;"Vendida",IFERROR(INDEX('01-Cadastro-Motos'!$I$4:$I$123,MATCH($A13,'01-Cadastro-Motos'!$A$4:$A$123,0)),""),0))</f>
        <v/>
      </c>
      <c r="I13" s="18">
        <f>IF(OR($A13="",$D13=""),"",IF($D13&gt;'00-Parametros'!$C$19,"SIM - ver Pilar 10.4","Não"))</f>
        <v/>
      </c>
    </row>
    <row r="14">
      <c r="A14" s="18">
        <f>IF('01-Cadastro-Motos'!$A14="","",'01-Cadastro-Motos'!$A14)</f>
        <v/>
      </c>
      <c r="B14" s="18">
        <f>IF($A14="","",IFERROR(INDEX('01-Cadastro-Motos'!$B$4:$B$123,MATCH($A14,'01-Cadastro-Motos'!$A$4:$A$123,0)),""))</f>
        <v/>
      </c>
      <c r="C14" s="18">
        <f>IF($A14="","",IFERROR(INDEX('01-Cadastro-Motos'!$K$4:$K$123,MATCH($A14,'01-Cadastro-Motos'!$A$4:$A$123,0)),""))</f>
        <v/>
      </c>
      <c r="D14" s="22">
        <f>IF($A14="","",IFERROR(INDEX('01-Cadastro-Motos'!$P$4:$P$123,MATCH($A14,'01-Cadastro-Motos'!$A$4:$A$123,0)),""))</f>
        <v/>
      </c>
      <c r="E14" s="18">
        <f>IF(OR($A14="",$D14=""),"",IF($D14&lt;='00-Parametros'!$C$17,"Fase 1 - Lançamento (0-30)",IF($D14&lt;='00-Parametros'!$C$18,"Fase 2 - Consolidação (31-60)",IF($D14&lt;='00-Parametros'!$C$19,"Fase 3 - Aceleração de Giro (61-90)","Fase 4 - Estoque Envelhecido (&gt;90)"))))</f>
        <v/>
      </c>
      <c r="F14" s="18">
        <f>IF(OR($A14="",$D14=""),"",IF($D14&lt;='00-Parametros'!$C$20,"Estoque Premium",IF($D14&lt;='00-Parametros'!$C$21,"Estoque Saudável",IF($D14&lt;='00-Parametros'!$C$22,"Estoque Atenção","Estoque Crítico"))))</f>
        <v/>
      </c>
      <c r="G14" s="15">
        <f>IF(OR($A14="",$D14=""),"",IF($D14&lt;='00-Parametros'!$C$17,IFERROR(INDEX('06-Precificacao'!$H$4:$H$123,MATCH($A14,'06-Precificacao'!$A$4:$A$123,0)),0),IF($D14&lt;='00-Parametros'!$C$18,IFERROR(INDEX('06-Precificacao'!$I$4:$I$123,MATCH($A14,'06-Precificacao'!$A$4:$A$123,0)),0),IFERROR(INDEX('06-Precificacao'!$J$4:$J$123,MATCH($A14,'06-Precificacao'!$A$4:$A$123,0)),0))))</f>
        <v/>
      </c>
      <c r="H14" s="15">
        <f>IF(OR($A14="",$C14=""),"",IF($C14&lt;&gt;"Vendida",IFERROR(INDEX('01-Cadastro-Motos'!$I$4:$I$123,MATCH($A14,'01-Cadastro-Motos'!$A$4:$A$123,0)),""),0))</f>
        <v/>
      </c>
      <c r="I14" s="18">
        <f>IF(OR($A14="",$D14=""),"",IF($D14&gt;'00-Parametros'!$C$19,"SIM - ver Pilar 10.4","Não"))</f>
        <v/>
      </c>
    </row>
    <row r="15">
      <c r="A15" s="18">
        <f>IF('01-Cadastro-Motos'!$A15="","",'01-Cadastro-Motos'!$A15)</f>
        <v/>
      </c>
      <c r="B15" s="18">
        <f>IF($A15="","",IFERROR(INDEX('01-Cadastro-Motos'!$B$4:$B$123,MATCH($A15,'01-Cadastro-Motos'!$A$4:$A$123,0)),""))</f>
        <v/>
      </c>
      <c r="C15" s="18">
        <f>IF($A15="","",IFERROR(INDEX('01-Cadastro-Motos'!$K$4:$K$123,MATCH($A15,'01-Cadastro-Motos'!$A$4:$A$123,0)),""))</f>
        <v/>
      </c>
      <c r="D15" s="22">
        <f>IF($A15="","",IFERROR(INDEX('01-Cadastro-Motos'!$P$4:$P$123,MATCH($A15,'01-Cadastro-Motos'!$A$4:$A$123,0)),""))</f>
        <v/>
      </c>
      <c r="E15" s="18">
        <f>IF(OR($A15="",$D15=""),"",IF($D15&lt;='00-Parametros'!$C$17,"Fase 1 - Lançamento (0-30)",IF($D15&lt;='00-Parametros'!$C$18,"Fase 2 - Consolidação (31-60)",IF($D15&lt;='00-Parametros'!$C$19,"Fase 3 - Aceleração de Giro (61-90)","Fase 4 - Estoque Envelhecido (&gt;90)"))))</f>
        <v/>
      </c>
      <c r="F15" s="18">
        <f>IF(OR($A15="",$D15=""),"",IF($D15&lt;='00-Parametros'!$C$20,"Estoque Premium",IF($D15&lt;='00-Parametros'!$C$21,"Estoque Saudável",IF($D15&lt;='00-Parametros'!$C$22,"Estoque Atenção","Estoque Crítico"))))</f>
        <v/>
      </c>
      <c r="G15" s="15">
        <f>IF(OR($A15="",$D15=""),"",IF($D15&lt;='00-Parametros'!$C$17,IFERROR(INDEX('06-Precificacao'!$H$4:$H$123,MATCH($A15,'06-Precificacao'!$A$4:$A$123,0)),0),IF($D15&lt;='00-Parametros'!$C$18,IFERROR(INDEX('06-Precificacao'!$I$4:$I$123,MATCH($A15,'06-Precificacao'!$A$4:$A$123,0)),0),IFERROR(INDEX('06-Precificacao'!$J$4:$J$123,MATCH($A15,'06-Precificacao'!$A$4:$A$123,0)),0))))</f>
        <v/>
      </c>
      <c r="H15" s="15">
        <f>IF(OR($A15="",$C15=""),"",IF($C15&lt;&gt;"Vendida",IFERROR(INDEX('01-Cadastro-Motos'!$I$4:$I$123,MATCH($A15,'01-Cadastro-Motos'!$A$4:$A$123,0)),""),0))</f>
        <v/>
      </c>
      <c r="I15" s="18">
        <f>IF(OR($A15="",$D15=""),"",IF($D15&gt;'00-Parametros'!$C$19,"SIM - ver Pilar 10.4","Não"))</f>
        <v/>
      </c>
    </row>
    <row r="16">
      <c r="A16" s="18">
        <f>IF('01-Cadastro-Motos'!$A16="","",'01-Cadastro-Motos'!$A16)</f>
        <v/>
      </c>
      <c r="B16" s="18">
        <f>IF($A16="","",IFERROR(INDEX('01-Cadastro-Motos'!$B$4:$B$123,MATCH($A16,'01-Cadastro-Motos'!$A$4:$A$123,0)),""))</f>
        <v/>
      </c>
      <c r="C16" s="18">
        <f>IF($A16="","",IFERROR(INDEX('01-Cadastro-Motos'!$K$4:$K$123,MATCH($A16,'01-Cadastro-Motos'!$A$4:$A$123,0)),""))</f>
        <v/>
      </c>
      <c r="D16" s="22">
        <f>IF($A16="","",IFERROR(INDEX('01-Cadastro-Motos'!$P$4:$P$123,MATCH($A16,'01-Cadastro-Motos'!$A$4:$A$123,0)),""))</f>
        <v/>
      </c>
      <c r="E16" s="18">
        <f>IF(OR($A16="",$D16=""),"",IF($D16&lt;='00-Parametros'!$C$17,"Fase 1 - Lançamento (0-30)",IF($D16&lt;='00-Parametros'!$C$18,"Fase 2 - Consolidação (31-60)",IF($D16&lt;='00-Parametros'!$C$19,"Fase 3 - Aceleração de Giro (61-90)","Fase 4 - Estoque Envelhecido (&gt;90)"))))</f>
        <v/>
      </c>
      <c r="F16" s="18">
        <f>IF(OR($A16="",$D16=""),"",IF($D16&lt;='00-Parametros'!$C$20,"Estoque Premium",IF($D16&lt;='00-Parametros'!$C$21,"Estoque Saudável",IF($D16&lt;='00-Parametros'!$C$22,"Estoque Atenção","Estoque Crítico"))))</f>
        <v/>
      </c>
      <c r="G16" s="15">
        <f>IF(OR($A16="",$D16=""),"",IF($D16&lt;='00-Parametros'!$C$17,IFERROR(INDEX('06-Precificacao'!$H$4:$H$123,MATCH($A16,'06-Precificacao'!$A$4:$A$123,0)),0),IF($D16&lt;='00-Parametros'!$C$18,IFERROR(INDEX('06-Precificacao'!$I$4:$I$123,MATCH($A16,'06-Precificacao'!$A$4:$A$123,0)),0),IFERROR(INDEX('06-Precificacao'!$J$4:$J$123,MATCH($A16,'06-Precificacao'!$A$4:$A$123,0)),0))))</f>
        <v/>
      </c>
      <c r="H16" s="15">
        <f>IF(OR($A16="",$C16=""),"",IF($C16&lt;&gt;"Vendida",IFERROR(INDEX('01-Cadastro-Motos'!$I$4:$I$123,MATCH($A16,'01-Cadastro-Motos'!$A$4:$A$123,0)),""),0))</f>
        <v/>
      </c>
      <c r="I16" s="18">
        <f>IF(OR($A16="",$D16=""),"",IF($D16&gt;'00-Parametros'!$C$19,"SIM - ver Pilar 10.4","Não"))</f>
        <v/>
      </c>
    </row>
    <row r="17">
      <c r="A17" s="18">
        <f>IF('01-Cadastro-Motos'!$A17="","",'01-Cadastro-Motos'!$A17)</f>
        <v/>
      </c>
      <c r="B17" s="18">
        <f>IF($A17="","",IFERROR(INDEX('01-Cadastro-Motos'!$B$4:$B$123,MATCH($A17,'01-Cadastro-Motos'!$A$4:$A$123,0)),""))</f>
        <v/>
      </c>
      <c r="C17" s="18">
        <f>IF($A17="","",IFERROR(INDEX('01-Cadastro-Motos'!$K$4:$K$123,MATCH($A17,'01-Cadastro-Motos'!$A$4:$A$123,0)),""))</f>
        <v/>
      </c>
      <c r="D17" s="22">
        <f>IF($A17="","",IFERROR(INDEX('01-Cadastro-Motos'!$P$4:$P$123,MATCH($A17,'01-Cadastro-Motos'!$A$4:$A$123,0)),""))</f>
        <v/>
      </c>
      <c r="E17" s="18">
        <f>IF(OR($A17="",$D17=""),"",IF($D17&lt;='00-Parametros'!$C$17,"Fase 1 - Lançamento (0-30)",IF($D17&lt;='00-Parametros'!$C$18,"Fase 2 - Consolidação (31-60)",IF($D17&lt;='00-Parametros'!$C$19,"Fase 3 - Aceleração de Giro (61-90)","Fase 4 - Estoque Envelhecido (&gt;90)"))))</f>
        <v/>
      </c>
      <c r="F17" s="18">
        <f>IF(OR($A17="",$D17=""),"",IF($D17&lt;='00-Parametros'!$C$20,"Estoque Premium",IF($D17&lt;='00-Parametros'!$C$21,"Estoque Saudável",IF($D17&lt;='00-Parametros'!$C$22,"Estoque Atenção","Estoque Crítico"))))</f>
        <v/>
      </c>
      <c r="G17" s="15">
        <f>IF(OR($A17="",$D17=""),"",IF($D17&lt;='00-Parametros'!$C$17,IFERROR(INDEX('06-Precificacao'!$H$4:$H$123,MATCH($A17,'06-Precificacao'!$A$4:$A$123,0)),0),IF($D17&lt;='00-Parametros'!$C$18,IFERROR(INDEX('06-Precificacao'!$I$4:$I$123,MATCH($A17,'06-Precificacao'!$A$4:$A$123,0)),0),IFERROR(INDEX('06-Precificacao'!$J$4:$J$123,MATCH($A17,'06-Precificacao'!$A$4:$A$123,0)),0))))</f>
        <v/>
      </c>
      <c r="H17" s="15">
        <f>IF(OR($A17="",$C17=""),"",IF($C17&lt;&gt;"Vendida",IFERROR(INDEX('01-Cadastro-Motos'!$I$4:$I$123,MATCH($A17,'01-Cadastro-Motos'!$A$4:$A$123,0)),""),0))</f>
        <v/>
      </c>
      <c r="I17" s="18">
        <f>IF(OR($A17="",$D17=""),"",IF($D17&gt;'00-Parametros'!$C$19,"SIM - ver Pilar 10.4","Não"))</f>
        <v/>
      </c>
    </row>
    <row r="18">
      <c r="A18" s="18">
        <f>IF('01-Cadastro-Motos'!$A18="","",'01-Cadastro-Motos'!$A18)</f>
        <v/>
      </c>
      <c r="B18" s="18">
        <f>IF($A18="","",IFERROR(INDEX('01-Cadastro-Motos'!$B$4:$B$123,MATCH($A18,'01-Cadastro-Motos'!$A$4:$A$123,0)),""))</f>
        <v/>
      </c>
      <c r="C18" s="18">
        <f>IF($A18="","",IFERROR(INDEX('01-Cadastro-Motos'!$K$4:$K$123,MATCH($A18,'01-Cadastro-Motos'!$A$4:$A$123,0)),""))</f>
        <v/>
      </c>
      <c r="D18" s="22">
        <f>IF($A18="","",IFERROR(INDEX('01-Cadastro-Motos'!$P$4:$P$123,MATCH($A18,'01-Cadastro-Motos'!$A$4:$A$123,0)),""))</f>
        <v/>
      </c>
      <c r="E18" s="18">
        <f>IF(OR($A18="",$D18=""),"",IF($D18&lt;='00-Parametros'!$C$17,"Fase 1 - Lançamento (0-30)",IF($D18&lt;='00-Parametros'!$C$18,"Fase 2 - Consolidação (31-60)",IF($D18&lt;='00-Parametros'!$C$19,"Fase 3 - Aceleração de Giro (61-90)","Fase 4 - Estoque Envelhecido (&gt;90)"))))</f>
        <v/>
      </c>
      <c r="F18" s="18">
        <f>IF(OR($A18="",$D18=""),"",IF($D18&lt;='00-Parametros'!$C$20,"Estoque Premium",IF($D18&lt;='00-Parametros'!$C$21,"Estoque Saudável",IF($D18&lt;='00-Parametros'!$C$22,"Estoque Atenção","Estoque Crítico"))))</f>
        <v/>
      </c>
      <c r="G18" s="15">
        <f>IF(OR($A18="",$D18=""),"",IF($D18&lt;='00-Parametros'!$C$17,IFERROR(INDEX('06-Precificacao'!$H$4:$H$123,MATCH($A18,'06-Precificacao'!$A$4:$A$123,0)),0),IF($D18&lt;='00-Parametros'!$C$18,IFERROR(INDEX('06-Precificacao'!$I$4:$I$123,MATCH($A18,'06-Precificacao'!$A$4:$A$123,0)),0),IFERROR(INDEX('06-Precificacao'!$J$4:$J$123,MATCH($A18,'06-Precificacao'!$A$4:$A$123,0)),0))))</f>
        <v/>
      </c>
      <c r="H18" s="15">
        <f>IF(OR($A18="",$C18=""),"",IF($C18&lt;&gt;"Vendida",IFERROR(INDEX('01-Cadastro-Motos'!$I$4:$I$123,MATCH($A18,'01-Cadastro-Motos'!$A$4:$A$123,0)),""),0))</f>
        <v/>
      </c>
      <c r="I18" s="18">
        <f>IF(OR($A18="",$D18=""),"",IF($D18&gt;'00-Parametros'!$C$19,"SIM - ver Pilar 10.4","Não"))</f>
        <v/>
      </c>
    </row>
    <row r="19">
      <c r="A19" s="18">
        <f>IF('01-Cadastro-Motos'!$A19="","",'01-Cadastro-Motos'!$A19)</f>
        <v/>
      </c>
      <c r="B19" s="18">
        <f>IF($A19="","",IFERROR(INDEX('01-Cadastro-Motos'!$B$4:$B$123,MATCH($A19,'01-Cadastro-Motos'!$A$4:$A$123,0)),""))</f>
        <v/>
      </c>
      <c r="C19" s="18">
        <f>IF($A19="","",IFERROR(INDEX('01-Cadastro-Motos'!$K$4:$K$123,MATCH($A19,'01-Cadastro-Motos'!$A$4:$A$123,0)),""))</f>
        <v/>
      </c>
      <c r="D19" s="22">
        <f>IF($A19="","",IFERROR(INDEX('01-Cadastro-Motos'!$P$4:$P$123,MATCH($A19,'01-Cadastro-Motos'!$A$4:$A$123,0)),""))</f>
        <v/>
      </c>
      <c r="E19" s="18">
        <f>IF(OR($A19="",$D19=""),"",IF($D19&lt;='00-Parametros'!$C$17,"Fase 1 - Lançamento (0-30)",IF($D19&lt;='00-Parametros'!$C$18,"Fase 2 - Consolidação (31-60)",IF($D19&lt;='00-Parametros'!$C$19,"Fase 3 - Aceleração de Giro (61-90)","Fase 4 - Estoque Envelhecido (&gt;90)"))))</f>
        <v/>
      </c>
      <c r="F19" s="18">
        <f>IF(OR($A19="",$D19=""),"",IF($D19&lt;='00-Parametros'!$C$20,"Estoque Premium",IF($D19&lt;='00-Parametros'!$C$21,"Estoque Saudável",IF($D19&lt;='00-Parametros'!$C$22,"Estoque Atenção","Estoque Crítico"))))</f>
        <v/>
      </c>
      <c r="G19" s="15">
        <f>IF(OR($A19="",$D19=""),"",IF($D19&lt;='00-Parametros'!$C$17,IFERROR(INDEX('06-Precificacao'!$H$4:$H$123,MATCH($A19,'06-Precificacao'!$A$4:$A$123,0)),0),IF($D19&lt;='00-Parametros'!$C$18,IFERROR(INDEX('06-Precificacao'!$I$4:$I$123,MATCH($A19,'06-Precificacao'!$A$4:$A$123,0)),0),IFERROR(INDEX('06-Precificacao'!$J$4:$J$123,MATCH($A19,'06-Precificacao'!$A$4:$A$123,0)),0))))</f>
        <v/>
      </c>
      <c r="H19" s="15">
        <f>IF(OR($A19="",$C19=""),"",IF($C19&lt;&gt;"Vendida",IFERROR(INDEX('01-Cadastro-Motos'!$I$4:$I$123,MATCH($A19,'01-Cadastro-Motos'!$A$4:$A$123,0)),""),0))</f>
        <v/>
      </c>
      <c r="I19" s="18">
        <f>IF(OR($A19="",$D19=""),"",IF($D19&gt;'00-Parametros'!$C$19,"SIM - ver Pilar 10.4","Não"))</f>
        <v/>
      </c>
    </row>
    <row r="20">
      <c r="A20" s="18">
        <f>IF('01-Cadastro-Motos'!$A20="","",'01-Cadastro-Motos'!$A20)</f>
        <v/>
      </c>
      <c r="B20" s="18">
        <f>IF($A20="","",IFERROR(INDEX('01-Cadastro-Motos'!$B$4:$B$123,MATCH($A20,'01-Cadastro-Motos'!$A$4:$A$123,0)),""))</f>
        <v/>
      </c>
      <c r="C20" s="18">
        <f>IF($A20="","",IFERROR(INDEX('01-Cadastro-Motos'!$K$4:$K$123,MATCH($A20,'01-Cadastro-Motos'!$A$4:$A$123,0)),""))</f>
        <v/>
      </c>
      <c r="D20" s="22">
        <f>IF($A20="","",IFERROR(INDEX('01-Cadastro-Motos'!$P$4:$P$123,MATCH($A20,'01-Cadastro-Motos'!$A$4:$A$123,0)),""))</f>
        <v/>
      </c>
      <c r="E20" s="18">
        <f>IF(OR($A20="",$D20=""),"",IF($D20&lt;='00-Parametros'!$C$17,"Fase 1 - Lançamento (0-30)",IF($D20&lt;='00-Parametros'!$C$18,"Fase 2 - Consolidação (31-60)",IF($D20&lt;='00-Parametros'!$C$19,"Fase 3 - Aceleração de Giro (61-90)","Fase 4 - Estoque Envelhecido (&gt;90)"))))</f>
        <v/>
      </c>
      <c r="F20" s="18">
        <f>IF(OR($A20="",$D20=""),"",IF($D20&lt;='00-Parametros'!$C$20,"Estoque Premium",IF($D20&lt;='00-Parametros'!$C$21,"Estoque Saudável",IF($D20&lt;='00-Parametros'!$C$22,"Estoque Atenção","Estoque Crítico"))))</f>
        <v/>
      </c>
      <c r="G20" s="15">
        <f>IF(OR($A20="",$D20=""),"",IF($D20&lt;='00-Parametros'!$C$17,IFERROR(INDEX('06-Precificacao'!$H$4:$H$123,MATCH($A20,'06-Precificacao'!$A$4:$A$123,0)),0),IF($D20&lt;='00-Parametros'!$C$18,IFERROR(INDEX('06-Precificacao'!$I$4:$I$123,MATCH($A20,'06-Precificacao'!$A$4:$A$123,0)),0),IFERROR(INDEX('06-Precificacao'!$J$4:$J$123,MATCH($A20,'06-Precificacao'!$A$4:$A$123,0)),0))))</f>
        <v/>
      </c>
      <c r="H20" s="15">
        <f>IF(OR($A20="",$C20=""),"",IF($C20&lt;&gt;"Vendida",IFERROR(INDEX('01-Cadastro-Motos'!$I$4:$I$123,MATCH($A20,'01-Cadastro-Motos'!$A$4:$A$123,0)),""),0))</f>
        <v/>
      </c>
      <c r="I20" s="18">
        <f>IF(OR($A20="",$D20=""),"",IF($D20&gt;'00-Parametros'!$C$19,"SIM - ver Pilar 10.4","Não"))</f>
        <v/>
      </c>
    </row>
    <row r="21">
      <c r="A21" s="18">
        <f>IF('01-Cadastro-Motos'!$A21="","",'01-Cadastro-Motos'!$A21)</f>
        <v/>
      </c>
      <c r="B21" s="18">
        <f>IF($A21="","",IFERROR(INDEX('01-Cadastro-Motos'!$B$4:$B$123,MATCH($A21,'01-Cadastro-Motos'!$A$4:$A$123,0)),""))</f>
        <v/>
      </c>
      <c r="C21" s="18">
        <f>IF($A21="","",IFERROR(INDEX('01-Cadastro-Motos'!$K$4:$K$123,MATCH($A21,'01-Cadastro-Motos'!$A$4:$A$123,0)),""))</f>
        <v/>
      </c>
      <c r="D21" s="22">
        <f>IF($A21="","",IFERROR(INDEX('01-Cadastro-Motos'!$P$4:$P$123,MATCH($A21,'01-Cadastro-Motos'!$A$4:$A$123,0)),""))</f>
        <v/>
      </c>
      <c r="E21" s="18">
        <f>IF(OR($A21="",$D21=""),"",IF($D21&lt;='00-Parametros'!$C$17,"Fase 1 - Lançamento (0-30)",IF($D21&lt;='00-Parametros'!$C$18,"Fase 2 - Consolidação (31-60)",IF($D21&lt;='00-Parametros'!$C$19,"Fase 3 - Aceleração de Giro (61-90)","Fase 4 - Estoque Envelhecido (&gt;90)"))))</f>
        <v/>
      </c>
      <c r="F21" s="18">
        <f>IF(OR($A21="",$D21=""),"",IF($D21&lt;='00-Parametros'!$C$20,"Estoque Premium",IF($D21&lt;='00-Parametros'!$C$21,"Estoque Saudável",IF($D21&lt;='00-Parametros'!$C$22,"Estoque Atenção","Estoque Crítico"))))</f>
        <v/>
      </c>
      <c r="G21" s="15">
        <f>IF(OR($A21="",$D21=""),"",IF($D21&lt;='00-Parametros'!$C$17,IFERROR(INDEX('06-Precificacao'!$H$4:$H$123,MATCH($A21,'06-Precificacao'!$A$4:$A$123,0)),0),IF($D21&lt;='00-Parametros'!$C$18,IFERROR(INDEX('06-Precificacao'!$I$4:$I$123,MATCH($A21,'06-Precificacao'!$A$4:$A$123,0)),0),IFERROR(INDEX('06-Precificacao'!$J$4:$J$123,MATCH($A21,'06-Precificacao'!$A$4:$A$123,0)),0))))</f>
        <v/>
      </c>
      <c r="H21" s="15">
        <f>IF(OR($A21="",$C21=""),"",IF($C21&lt;&gt;"Vendida",IFERROR(INDEX('01-Cadastro-Motos'!$I$4:$I$123,MATCH($A21,'01-Cadastro-Motos'!$A$4:$A$123,0)),""),0))</f>
        <v/>
      </c>
      <c r="I21" s="18">
        <f>IF(OR($A21="",$D21=""),"",IF($D21&gt;'00-Parametros'!$C$19,"SIM - ver Pilar 10.4","Não"))</f>
        <v/>
      </c>
    </row>
    <row r="22">
      <c r="A22" s="18">
        <f>IF('01-Cadastro-Motos'!$A22="","",'01-Cadastro-Motos'!$A22)</f>
        <v/>
      </c>
      <c r="B22" s="18">
        <f>IF($A22="","",IFERROR(INDEX('01-Cadastro-Motos'!$B$4:$B$123,MATCH($A22,'01-Cadastro-Motos'!$A$4:$A$123,0)),""))</f>
        <v/>
      </c>
      <c r="C22" s="18">
        <f>IF($A22="","",IFERROR(INDEX('01-Cadastro-Motos'!$K$4:$K$123,MATCH($A22,'01-Cadastro-Motos'!$A$4:$A$123,0)),""))</f>
        <v/>
      </c>
      <c r="D22" s="22">
        <f>IF($A22="","",IFERROR(INDEX('01-Cadastro-Motos'!$P$4:$P$123,MATCH($A22,'01-Cadastro-Motos'!$A$4:$A$123,0)),""))</f>
        <v/>
      </c>
      <c r="E22" s="18">
        <f>IF(OR($A22="",$D22=""),"",IF($D22&lt;='00-Parametros'!$C$17,"Fase 1 - Lançamento (0-30)",IF($D22&lt;='00-Parametros'!$C$18,"Fase 2 - Consolidação (31-60)",IF($D22&lt;='00-Parametros'!$C$19,"Fase 3 - Aceleração de Giro (61-90)","Fase 4 - Estoque Envelhecido (&gt;90)"))))</f>
        <v/>
      </c>
      <c r="F22" s="18">
        <f>IF(OR($A22="",$D22=""),"",IF($D22&lt;='00-Parametros'!$C$20,"Estoque Premium",IF($D22&lt;='00-Parametros'!$C$21,"Estoque Saudável",IF($D22&lt;='00-Parametros'!$C$22,"Estoque Atenção","Estoque Crítico"))))</f>
        <v/>
      </c>
      <c r="G22" s="15">
        <f>IF(OR($A22="",$D22=""),"",IF($D22&lt;='00-Parametros'!$C$17,IFERROR(INDEX('06-Precificacao'!$H$4:$H$123,MATCH($A22,'06-Precificacao'!$A$4:$A$123,0)),0),IF($D22&lt;='00-Parametros'!$C$18,IFERROR(INDEX('06-Precificacao'!$I$4:$I$123,MATCH($A22,'06-Precificacao'!$A$4:$A$123,0)),0),IFERROR(INDEX('06-Precificacao'!$J$4:$J$123,MATCH($A22,'06-Precificacao'!$A$4:$A$123,0)),0))))</f>
        <v/>
      </c>
      <c r="H22" s="15">
        <f>IF(OR($A22="",$C22=""),"",IF($C22&lt;&gt;"Vendida",IFERROR(INDEX('01-Cadastro-Motos'!$I$4:$I$123,MATCH($A22,'01-Cadastro-Motos'!$A$4:$A$123,0)),""),0))</f>
        <v/>
      </c>
      <c r="I22" s="18">
        <f>IF(OR($A22="",$D22=""),"",IF($D22&gt;'00-Parametros'!$C$19,"SIM - ver Pilar 10.4","Não"))</f>
        <v/>
      </c>
    </row>
    <row r="23">
      <c r="A23" s="18">
        <f>IF('01-Cadastro-Motos'!$A23="","",'01-Cadastro-Motos'!$A23)</f>
        <v/>
      </c>
      <c r="B23" s="18">
        <f>IF($A23="","",IFERROR(INDEX('01-Cadastro-Motos'!$B$4:$B$123,MATCH($A23,'01-Cadastro-Motos'!$A$4:$A$123,0)),""))</f>
        <v/>
      </c>
      <c r="C23" s="18">
        <f>IF($A23="","",IFERROR(INDEX('01-Cadastro-Motos'!$K$4:$K$123,MATCH($A23,'01-Cadastro-Motos'!$A$4:$A$123,0)),""))</f>
        <v/>
      </c>
      <c r="D23" s="22">
        <f>IF($A23="","",IFERROR(INDEX('01-Cadastro-Motos'!$P$4:$P$123,MATCH($A23,'01-Cadastro-Motos'!$A$4:$A$123,0)),""))</f>
        <v/>
      </c>
      <c r="E23" s="18">
        <f>IF(OR($A23="",$D23=""),"",IF($D23&lt;='00-Parametros'!$C$17,"Fase 1 - Lançamento (0-30)",IF($D23&lt;='00-Parametros'!$C$18,"Fase 2 - Consolidação (31-60)",IF($D23&lt;='00-Parametros'!$C$19,"Fase 3 - Aceleração de Giro (61-90)","Fase 4 - Estoque Envelhecido (&gt;90)"))))</f>
        <v/>
      </c>
      <c r="F23" s="18">
        <f>IF(OR($A23="",$D23=""),"",IF($D23&lt;='00-Parametros'!$C$20,"Estoque Premium",IF($D23&lt;='00-Parametros'!$C$21,"Estoque Saudável",IF($D23&lt;='00-Parametros'!$C$22,"Estoque Atenção","Estoque Crítico"))))</f>
        <v/>
      </c>
      <c r="G23" s="15">
        <f>IF(OR($A23="",$D23=""),"",IF($D23&lt;='00-Parametros'!$C$17,IFERROR(INDEX('06-Precificacao'!$H$4:$H$123,MATCH($A23,'06-Precificacao'!$A$4:$A$123,0)),0),IF($D23&lt;='00-Parametros'!$C$18,IFERROR(INDEX('06-Precificacao'!$I$4:$I$123,MATCH($A23,'06-Precificacao'!$A$4:$A$123,0)),0),IFERROR(INDEX('06-Precificacao'!$J$4:$J$123,MATCH($A23,'06-Precificacao'!$A$4:$A$123,0)),0))))</f>
        <v/>
      </c>
      <c r="H23" s="15">
        <f>IF(OR($A23="",$C23=""),"",IF($C23&lt;&gt;"Vendida",IFERROR(INDEX('01-Cadastro-Motos'!$I$4:$I$123,MATCH($A23,'01-Cadastro-Motos'!$A$4:$A$123,0)),""),0))</f>
        <v/>
      </c>
      <c r="I23" s="18">
        <f>IF(OR($A23="",$D23=""),"",IF($D23&gt;'00-Parametros'!$C$19,"SIM - ver Pilar 10.4","Não"))</f>
        <v/>
      </c>
    </row>
    <row r="24">
      <c r="A24" s="18">
        <f>IF('01-Cadastro-Motos'!$A24="","",'01-Cadastro-Motos'!$A24)</f>
        <v/>
      </c>
      <c r="B24" s="18">
        <f>IF($A24="","",IFERROR(INDEX('01-Cadastro-Motos'!$B$4:$B$123,MATCH($A24,'01-Cadastro-Motos'!$A$4:$A$123,0)),""))</f>
        <v/>
      </c>
      <c r="C24" s="18">
        <f>IF($A24="","",IFERROR(INDEX('01-Cadastro-Motos'!$K$4:$K$123,MATCH($A24,'01-Cadastro-Motos'!$A$4:$A$123,0)),""))</f>
        <v/>
      </c>
      <c r="D24" s="22">
        <f>IF($A24="","",IFERROR(INDEX('01-Cadastro-Motos'!$P$4:$P$123,MATCH($A24,'01-Cadastro-Motos'!$A$4:$A$123,0)),""))</f>
        <v/>
      </c>
      <c r="E24" s="18">
        <f>IF(OR($A24="",$D24=""),"",IF($D24&lt;='00-Parametros'!$C$17,"Fase 1 - Lançamento (0-30)",IF($D24&lt;='00-Parametros'!$C$18,"Fase 2 - Consolidação (31-60)",IF($D24&lt;='00-Parametros'!$C$19,"Fase 3 - Aceleração de Giro (61-90)","Fase 4 - Estoque Envelhecido (&gt;90)"))))</f>
        <v/>
      </c>
      <c r="F24" s="18">
        <f>IF(OR($A24="",$D24=""),"",IF($D24&lt;='00-Parametros'!$C$20,"Estoque Premium",IF($D24&lt;='00-Parametros'!$C$21,"Estoque Saudável",IF($D24&lt;='00-Parametros'!$C$22,"Estoque Atenção","Estoque Crítico"))))</f>
        <v/>
      </c>
      <c r="G24" s="15">
        <f>IF(OR($A24="",$D24=""),"",IF($D24&lt;='00-Parametros'!$C$17,IFERROR(INDEX('06-Precificacao'!$H$4:$H$123,MATCH($A24,'06-Precificacao'!$A$4:$A$123,0)),0),IF($D24&lt;='00-Parametros'!$C$18,IFERROR(INDEX('06-Precificacao'!$I$4:$I$123,MATCH($A24,'06-Precificacao'!$A$4:$A$123,0)),0),IFERROR(INDEX('06-Precificacao'!$J$4:$J$123,MATCH($A24,'06-Precificacao'!$A$4:$A$123,0)),0))))</f>
        <v/>
      </c>
      <c r="H24" s="15">
        <f>IF(OR($A24="",$C24=""),"",IF($C24&lt;&gt;"Vendida",IFERROR(INDEX('01-Cadastro-Motos'!$I$4:$I$123,MATCH($A24,'01-Cadastro-Motos'!$A$4:$A$123,0)),""),0))</f>
        <v/>
      </c>
      <c r="I24" s="18">
        <f>IF(OR($A24="",$D24=""),"",IF($D24&gt;'00-Parametros'!$C$19,"SIM - ver Pilar 10.4","Não"))</f>
        <v/>
      </c>
    </row>
    <row r="25">
      <c r="A25" s="18">
        <f>IF('01-Cadastro-Motos'!$A25="","",'01-Cadastro-Motos'!$A25)</f>
        <v/>
      </c>
      <c r="B25" s="18">
        <f>IF($A25="","",IFERROR(INDEX('01-Cadastro-Motos'!$B$4:$B$123,MATCH($A25,'01-Cadastro-Motos'!$A$4:$A$123,0)),""))</f>
        <v/>
      </c>
      <c r="C25" s="18">
        <f>IF($A25="","",IFERROR(INDEX('01-Cadastro-Motos'!$K$4:$K$123,MATCH($A25,'01-Cadastro-Motos'!$A$4:$A$123,0)),""))</f>
        <v/>
      </c>
      <c r="D25" s="22">
        <f>IF($A25="","",IFERROR(INDEX('01-Cadastro-Motos'!$P$4:$P$123,MATCH($A25,'01-Cadastro-Motos'!$A$4:$A$123,0)),""))</f>
        <v/>
      </c>
      <c r="E25" s="18">
        <f>IF(OR($A25="",$D25=""),"",IF($D25&lt;='00-Parametros'!$C$17,"Fase 1 - Lançamento (0-30)",IF($D25&lt;='00-Parametros'!$C$18,"Fase 2 - Consolidação (31-60)",IF($D25&lt;='00-Parametros'!$C$19,"Fase 3 - Aceleração de Giro (61-90)","Fase 4 - Estoque Envelhecido (&gt;90)"))))</f>
        <v/>
      </c>
      <c r="F25" s="18">
        <f>IF(OR($A25="",$D25=""),"",IF($D25&lt;='00-Parametros'!$C$20,"Estoque Premium",IF($D25&lt;='00-Parametros'!$C$21,"Estoque Saudável",IF($D25&lt;='00-Parametros'!$C$22,"Estoque Atenção","Estoque Crítico"))))</f>
        <v/>
      </c>
      <c r="G25" s="15">
        <f>IF(OR($A25="",$D25=""),"",IF($D25&lt;='00-Parametros'!$C$17,IFERROR(INDEX('06-Precificacao'!$H$4:$H$123,MATCH($A25,'06-Precificacao'!$A$4:$A$123,0)),0),IF($D25&lt;='00-Parametros'!$C$18,IFERROR(INDEX('06-Precificacao'!$I$4:$I$123,MATCH($A25,'06-Precificacao'!$A$4:$A$123,0)),0),IFERROR(INDEX('06-Precificacao'!$J$4:$J$123,MATCH($A25,'06-Precificacao'!$A$4:$A$123,0)),0))))</f>
        <v/>
      </c>
      <c r="H25" s="15">
        <f>IF(OR($A25="",$C25=""),"",IF($C25&lt;&gt;"Vendida",IFERROR(INDEX('01-Cadastro-Motos'!$I$4:$I$123,MATCH($A25,'01-Cadastro-Motos'!$A$4:$A$123,0)),""),0))</f>
        <v/>
      </c>
      <c r="I25" s="18">
        <f>IF(OR($A25="",$D25=""),"",IF($D25&gt;'00-Parametros'!$C$19,"SIM - ver Pilar 10.4","Não"))</f>
        <v/>
      </c>
    </row>
    <row r="26">
      <c r="A26" s="18">
        <f>IF('01-Cadastro-Motos'!$A26="","",'01-Cadastro-Motos'!$A26)</f>
        <v/>
      </c>
      <c r="B26" s="18">
        <f>IF($A26="","",IFERROR(INDEX('01-Cadastro-Motos'!$B$4:$B$123,MATCH($A26,'01-Cadastro-Motos'!$A$4:$A$123,0)),""))</f>
        <v/>
      </c>
      <c r="C26" s="18">
        <f>IF($A26="","",IFERROR(INDEX('01-Cadastro-Motos'!$K$4:$K$123,MATCH($A26,'01-Cadastro-Motos'!$A$4:$A$123,0)),""))</f>
        <v/>
      </c>
      <c r="D26" s="22">
        <f>IF($A26="","",IFERROR(INDEX('01-Cadastro-Motos'!$P$4:$P$123,MATCH($A26,'01-Cadastro-Motos'!$A$4:$A$123,0)),""))</f>
        <v/>
      </c>
      <c r="E26" s="18">
        <f>IF(OR($A26="",$D26=""),"",IF($D26&lt;='00-Parametros'!$C$17,"Fase 1 - Lançamento (0-30)",IF($D26&lt;='00-Parametros'!$C$18,"Fase 2 - Consolidação (31-60)",IF($D26&lt;='00-Parametros'!$C$19,"Fase 3 - Aceleração de Giro (61-90)","Fase 4 - Estoque Envelhecido (&gt;90)"))))</f>
        <v/>
      </c>
      <c r="F26" s="18">
        <f>IF(OR($A26="",$D26=""),"",IF($D26&lt;='00-Parametros'!$C$20,"Estoque Premium",IF($D26&lt;='00-Parametros'!$C$21,"Estoque Saudável",IF($D26&lt;='00-Parametros'!$C$22,"Estoque Atenção","Estoque Crítico"))))</f>
        <v/>
      </c>
      <c r="G26" s="15">
        <f>IF(OR($A26="",$D26=""),"",IF($D26&lt;='00-Parametros'!$C$17,IFERROR(INDEX('06-Precificacao'!$H$4:$H$123,MATCH($A26,'06-Precificacao'!$A$4:$A$123,0)),0),IF($D26&lt;='00-Parametros'!$C$18,IFERROR(INDEX('06-Precificacao'!$I$4:$I$123,MATCH($A26,'06-Precificacao'!$A$4:$A$123,0)),0),IFERROR(INDEX('06-Precificacao'!$J$4:$J$123,MATCH($A26,'06-Precificacao'!$A$4:$A$123,0)),0))))</f>
        <v/>
      </c>
      <c r="H26" s="15">
        <f>IF(OR($A26="",$C26=""),"",IF($C26&lt;&gt;"Vendida",IFERROR(INDEX('01-Cadastro-Motos'!$I$4:$I$123,MATCH($A26,'01-Cadastro-Motos'!$A$4:$A$123,0)),""),0))</f>
        <v/>
      </c>
      <c r="I26" s="18">
        <f>IF(OR($A26="",$D26=""),"",IF($D26&gt;'00-Parametros'!$C$19,"SIM - ver Pilar 10.4","Não"))</f>
        <v/>
      </c>
    </row>
    <row r="27">
      <c r="A27" s="18">
        <f>IF('01-Cadastro-Motos'!$A27="","",'01-Cadastro-Motos'!$A27)</f>
        <v/>
      </c>
      <c r="B27" s="18">
        <f>IF($A27="","",IFERROR(INDEX('01-Cadastro-Motos'!$B$4:$B$123,MATCH($A27,'01-Cadastro-Motos'!$A$4:$A$123,0)),""))</f>
        <v/>
      </c>
      <c r="C27" s="18">
        <f>IF($A27="","",IFERROR(INDEX('01-Cadastro-Motos'!$K$4:$K$123,MATCH($A27,'01-Cadastro-Motos'!$A$4:$A$123,0)),""))</f>
        <v/>
      </c>
      <c r="D27" s="22">
        <f>IF($A27="","",IFERROR(INDEX('01-Cadastro-Motos'!$P$4:$P$123,MATCH($A27,'01-Cadastro-Motos'!$A$4:$A$123,0)),""))</f>
        <v/>
      </c>
      <c r="E27" s="18">
        <f>IF(OR($A27="",$D27=""),"",IF($D27&lt;='00-Parametros'!$C$17,"Fase 1 - Lançamento (0-30)",IF($D27&lt;='00-Parametros'!$C$18,"Fase 2 - Consolidação (31-60)",IF($D27&lt;='00-Parametros'!$C$19,"Fase 3 - Aceleração de Giro (61-90)","Fase 4 - Estoque Envelhecido (&gt;90)"))))</f>
        <v/>
      </c>
      <c r="F27" s="18">
        <f>IF(OR($A27="",$D27=""),"",IF($D27&lt;='00-Parametros'!$C$20,"Estoque Premium",IF($D27&lt;='00-Parametros'!$C$21,"Estoque Saudável",IF($D27&lt;='00-Parametros'!$C$22,"Estoque Atenção","Estoque Crítico"))))</f>
        <v/>
      </c>
      <c r="G27" s="15">
        <f>IF(OR($A27="",$D27=""),"",IF($D27&lt;='00-Parametros'!$C$17,IFERROR(INDEX('06-Precificacao'!$H$4:$H$123,MATCH($A27,'06-Precificacao'!$A$4:$A$123,0)),0),IF($D27&lt;='00-Parametros'!$C$18,IFERROR(INDEX('06-Precificacao'!$I$4:$I$123,MATCH($A27,'06-Precificacao'!$A$4:$A$123,0)),0),IFERROR(INDEX('06-Precificacao'!$J$4:$J$123,MATCH($A27,'06-Precificacao'!$A$4:$A$123,0)),0))))</f>
        <v/>
      </c>
      <c r="H27" s="15">
        <f>IF(OR($A27="",$C27=""),"",IF($C27&lt;&gt;"Vendida",IFERROR(INDEX('01-Cadastro-Motos'!$I$4:$I$123,MATCH($A27,'01-Cadastro-Motos'!$A$4:$A$123,0)),""),0))</f>
        <v/>
      </c>
      <c r="I27" s="18">
        <f>IF(OR($A27="",$D27=""),"",IF($D27&gt;'00-Parametros'!$C$19,"SIM - ver Pilar 10.4","Não"))</f>
        <v/>
      </c>
    </row>
    <row r="28">
      <c r="A28" s="18">
        <f>IF('01-Cadastro-Motos'!$A28="","",'01-Cadastro-Motos'!$A28)</f>
        <v/>
      </c>
      <c r="B28" s="18">
        <f>IF($A28="","",IFERROR(INDEX('01-Cadastro-Motos'!$B$4:$B$123,MATCH($A28,'01-Cadastro-Motos'!$A$4:$A$123,0)),""))</f>
        <v/>
      </c>
      <c r="C28" s="18">
        <f>IF($A28="","",IFERROR(INDEX('01-Cadastro-Motos'!$K$4:$K$123,MATCH($A28,'01-Cadastro-Motos'!$A$4:$A$123,0)),""))</f>
        <v/>
      </c>
      <c r="D28" s="22">
        <f>IF($A28="","",IFERROR(INDEX('01-Cadastro-Motos'!$P$4:$P$123,MATCH($A28,'01-Cadastro-Motos'!$A$4:$A$123,0)),""))</f>
        <v/>
      </c>
      <c r="E28" s="18">
        <f>IF(OR($A28="",$D28=""),"",IF($D28&lt;='00-Parametros'!$C$17,"Fase 1 - Lançamento (0-30)",IF($D28&lt;='00-Parametros'!$C$18,"Fase 2 - Consolidação (31-60)",IF($D28&lt;='00-Parametros'!$C$19,"Fase 3 - Aceleração de Giro (61-90)","Fase 4 - Estoque Envelhecido (&gt;90)"))))</f>
        <v/>
      </c>
      <c r="F28" s="18">
        <f>IF(OR($A28="",$D28=""),"",IF($D28&lt;='00-Parametros'!$C$20,"Estoque Premium",IF($D28&lt;='00-Parametros'!$C$21,"Estoque Saudável",IF($D28&lt;='00-Parametros'!$C$22,"Estoque Atenção","Estoque Crítico"))))</f>
        <v/>
      </c>
      <c r="G28" s="15">
        <f>IF(OR($A28="",$D28=""),"",IF($D28&lt;='00-Parametros'!$C$17,IFERROR(INDEX('06-Precificacao'!$H$4:$H$123,MATCH($A28,'06-Precificacao'!$A$4:$A$123,0)),0),IF($D28&lt;='00-Parametros'!$C$18,IFERROR(INDEX('06-Precificacao'!$I$4:$I$123,MATCH($A28,'06-Precificacao'!$A$4:$A$123,0)),0),IFERROR(INDEX('06-Precificacao'!$J$4:$J$123,MATCH($A28,'06-Precificacao'!$A$4:$A$123,0)),0))))</f>
        <v/>
      </c>
      <c r="H28" s="15">
        <f>IF(OR($A28="",$C28=""),"",IF($C28&lt;&gt;"Vendida",IFERROR(INDEX('01-Cadastro-Motos'!$I$4:$I$123,MATCH($A28,'01-Cadastro-Motos'!$A$4:$A$123,0)),""),0))</f>
        <v/>
      </c>
      <c r="I28" s="18">
        <f>IF(OR($A28="",$D28=""),"",IF($D28&gt;'00-Parametros'!$C$19,"SIM - ver Pilar 10.4","Não"))</f>
        <v/>
      </c>
    </row>
    <row r="29">
      <c r="A29" s="18">
        <f>IF('01-Cadastro-Motos'!$A29="","",'01-Cadastro-Motos'!$A29)</f>
        <v/>
      </c>
      <c r="B29" s="18">
        <f>IF($A29="","",IFERROR(INDEX('01-Cadastro-Motos'!$B$4:$B$123,MATCH($A29,'01-Cadastro-Motos'!$A$4:$A$123,0)),""))</f>
        <v/>
      </c>
      <c r="C29" s="18">
        <f>IF($A29="","",IFERROR(INDEX('01-Cadastro-Motos'!$K$4:$K$123,MATCH($A29,'01-Cadastro-Motos'!$A$4:$A$123,0)),""))</f>
        <v/>
      </c>
      <c r="D29" s="22">
        <f>IF($A29="","",IFERROR(INDEX('01-Cadastro-Motos'!$P$4:$P$123,MATCH($A29,'01-Cadastro-Motos'!$A$4:$A$123,0)),""))</f>
        <v/>
      </c>
      <c r="E29" s="18">
        <f>IF(OR($A29="",$D29=""),"",IF($D29&lt;='00-Parametros'!$C$17,"Fase 1 - Lançamento (0-30)",IF($D29&lt;='00-Parametros'!$C$18,"Fase 2 - Consolidação (31-60)",IF($D29&lt;='00-Parametros'!$C$19,"Fase 3 - Aceleração de Giro (61-90)","Fase 4 - Estoque Envelhecido (&gt;90)"))))</f>
        <v/>
      </c>
      <c r="F29" s="18">
        <f>IF(OR($A29="",$D29=""),"",IF($D29&lt;='00-Parametros'!$C$20,"Estoque Premium",IF($D29&lt;='00-Parametros'!$C$21,"Estoque Saudável",IF($D29&lt;='00-Parametros'!$C$22,"Estoque Atenção","Estoque Crítico"))))</f>
        <v/>
      </c>
      <c r="G29" s="15">
        <f>IF(OR($A29="",$D29=""),"",IF($D29&lt;='00-Parametros'!$C$17,IFERROR(INDEX('06-Precificacao'!$H$4:$H$123,MATCH($A29,'06-Precificacao'!$A$4:$A$123,0)),0),IF($D29&lt;='00-Parametros'!$C$18,IFERROR(INDEX('06-Precificacao'!$I$4:$I$123,MATCH($A29,'06-Precificacao'!$A$4:$A$123,0)),0),IFERROR(INDEX('06-Precificacao'!$J$4:$J$123,MATCH($A29,'06-Precificacao'!$A$4:$A$123,0)),0))))</f>
        <v/>
      </c>
      <c r="H29" s="15">
        <f>IF(OR($A29="",$C29=""),"",IF($C29&lt;&gt;"Vendida",IFERROR(INDEX('01-Cadastro-Motos'!$I$4:$I$123,MATCH($A29,'01-Cadastro-Motos'!$A$4:$A$123,0)),""),0))</f>
        <v/>
      </c>
      <c r="I29" s="18">
        <f>IF(OR($A29="",$D29=""),"",IF($D29&gt;'00-Parametros'!$C$19,"SIM - ver Pilar 10.4","Não"))</f>
        <v/>
      </c>
    </row>
    <row r="30">
      <c r="A30" s="18">
        <f>IF('01-Cadastro-Motos'!$A30="","",'01-Cadastro-Motos'!$A30)</f>
        <v/>
      </c>
      <c r="B30" s="18">
        <f>IF($A30="","",IFERROR(INDEX('01-Cadastro-Motos'!$B$4:$B$123,MATCH($A30,'01-Cadastro-Motos'!$A$4:$A$123,0)),""))</f>
        <v/>
      </c>
      <c r="C30" s="18">
        <f>IF($A30="","",IFERROR(INDEX('01-Cadastro-Motos'!$K$4:$K$123,MATCH($A30,'01-Cadastro-Motos'!$A$4:$A$123,0)),""))</f>
        <v/>
      </c>
      <c r="D30" s="22">
        <f>IF($A30="","",IFERROR(INDEX('01-Cadastro-Motos'!$P$4:$P$123,MATCH($A30,'01-Cadastro-Motos'!$A$4:$A$123,0)),""))</f>
        <v/>
      </c>
      <c r="E30" s="18">
        <f>IF(OR($A30="",$D30=""),"",IF($D30&lt;='00-Parametros'!$C$17,"Fase 1 - Lançamento (0-30)",IF($D30&lt;='00-Parametros'!$C$18,"Fase 2 - Consolidação (31-60)",IF($D30&lt;='00-Parametros'!$C$19,"Fase 3 - Aceleração de Giro (61-90)","Fase 4 - Estoque Envelhecido (&gt;90)"))))</f>
        <v/>
      </c>
      <c r="F30" s="18">
        <f>IF(OR($A30="",$D30=""),"",IF($D30&lt;='00-Parametros'!$C$20,"Estoque Premium",IF($D30&lt;='00-Parametros'!$C$21,"Estoque Saudável",IF($D30&lt;='00-Parametros'!$C$22,"Estoque Atenção","Estoque Crítico"))))</f>
        <v/>
      </c>
      <c r="G30" s="15">
        <f>IF(OR($A30="",$D30=""),"",IF($D30&lt;='00-Parametros'!$C$17,IFERROR(INDEX('06-Precificacao'!$H$4:$H$123,MATCH($A30,'06-Precificacao'!$A$4:$A$123,0)),0),IF($D30&lt;='00-Parametros'!$C$18,IFERROR(INDEX('06-Precificacao'!$I$4:$I$123,MATCH($A30,'06-Precificacao'!$A$4:$A$123,0)),0),IFERROR(INDEX('06-Precificacao'!$J$4:$J$123,MATCH($A30,'06-Precificacao'!$A$4:$A$123,0)),0))))</f>
        <v/>
      </c>
      <c r="H30" s="15">
        <f>IF(OR($A30="",$C30=""),"",IF($C30&lt;&gt;"Vendida",IFERROR(INDEX('01-Cadastro-Motos'!$I$4:$I$123,MATCH($A30,'01-Cadastro-Motos'!$A$4:$A$123,0)),""),0))</f>
        <v/>
      </c>
      <c r="I30" s="18">
        <f>IF(OR($A30="",$D30=""),"",IF($D30&gt;'00-Parametros'!$C$19,"SIM - ver Pilar 10.4","Não"))</f>
        <v/>
      </c>
    </row>
    <row r="31">
      <c r="A31" s="18">
        <f>IF('01-Cadastro-Motos'!$A31="","",'01-Cadastro-Motos'!$A31)</f>
        <v/>
      </c>
      <c r="B31" s="18">
        <f>IF($A31="","",IFERROR(INDEX('01-Cadastro-Motos'!$B$4:$B$123,MATCH($A31,'01-Cadastro-Motos'!$A$4:$A$123,0)),""))</f>
        <v/>
      </c>
      <c r="C31" s="18">
        <f>IF($A31="","",IFERROR(INDEX('01-Cadastro-Motos'!$K$4:$K$123,MATCH($A31,'01-Cadastro-Motos'!$A$4:$A$123,0)),""))</f>
        <v/>
      </c>
      <c r="D31" s="22">
        <f>IF($A31="","",IFERROR(INDEX('01-Cadastro-Motos'!$P$4:$P$123,MATCH($A31,'01-Cadastro-Motos'!$A$4:$A$123,0)),""))</f>
        <v/>
      </c>
      <c r="E31" s="18">
        <f>IF(OR($A31="",$D31=""),"",IF($D31&lt;='00-Parametros'!$C$17,"Fase 1 - Lançamento (0-30)",IF($D31&lt;='00-Parametros'!$C$18,"Fase 2 - Consolidação (31-60)",IF($D31&lt;='00-Parametros'!$C$19,"Fase 3 - Aceleração de Giro (61-90)","Fase 4 - Estoque Envelhecido (&gt;90)"))))</f>
        <v/>
      </c>
      <c r="F31" s="18">
        <f>IF(OR($A31="",$D31=""),"",IF($D31&lt;='00-Parametros'!$C$20,"Estoque Premium",IF($D31&lt;='00-Parametros'!$C$21,"Estoque Saudável",IF($D31&lt;='00-Parametros'!$C$22,"Estoque Atenção","Estoque Crítico"))))</f>
        <v/>
      </c>
      <c r="G31" s="15">
        <f>IF(OR($A31="",$D31=""),"",IF($D31&lt;='00-Parametros'!$C$17,IFERROR(INDEX('06-Precificacao'!$H$4:$H$123,MATCH($A31,'06-Precificacao'!$A$4:$A$123,0)),0),IF($D31&lt;='00-Parametros'!$C$18,IFERROR(INDEX('06-Precificacao'!$I$4:$I$123,MATCH($A31,'06-Precificacao'!$A$4:$A$123,0)),0),IFERROR(INDEX('06-Precificacao'!$J$4:$J$123,MATCH($A31,'06-Precificacao'!$A$4:$A$123,0)),0))))</f>
        <v/>
      </c>
      <c r="H31" s="15">
        <f>IF(OR($A31="",$C31=""),"",IF($C31&lt;&gt;"Vendida",IFERROR(INDEX('01-Cadastro-Motos'!$I$4:$I$123,MATCH($A31,'01-Cadastro-Motos'!$A$4:$A$123,0)),""),0))</f>
        <v/>
      </c>
      <c r="I31" s="18">
        <f>IF(OR($A31="",$D31=""),"",IF($D31&gt;'00-Parametros'!$C$19,"SIM - ver Pilar 10.4","Não"))</f>
        <v/>
      </c>
    </row>
    <row r="32">
      <c r="A32" s="18">
        <f>IF('01-Cadastro-Motos'!$A32="","",'01-Cadastro-Motos'!$A32)</f>
        <v/>
      </c>
      <c r="B32" s="18">
        <f>IF($A32="","",IFERROR(INDEX('01-Cadastro-Motos'!$B$4:$B$123,MATCH($A32,'01-Cadastro-Motos'!$A$4:$A$123,0)),""))</f>
        <v/>
      </c>
      <c r="C32" s="18">
        <f>IF($A32="","",IFERROR(INDEX('01-Cadastro-Motos'!$K$4:$K$123,MATCH($A32,'01-Cadastro-Motos'!$A$4:$A$123,0)),""))</f>
        <v/>
      </c>
      <c r="D32" s="22">
        <f>IF($A32="","",IFERROR(INDEX('01-Cadastro-Motos'!$P$4:$P$123,MATCH($A32,'01-Cadastro-Motos'!$A$4:$A$123,0)),""))</f>
        <v/>
      </c>
      <c r="E32" s="18">
        <f>IF(OR($A32="",$D32=""),"",IF($D32&lt;='00-Parametros'!$C$17,"Fase 1 - Lançamento (0-30)",IF($D32&lt;='00-Parametros'!$C$18,"Fase 2 - Consolidação (31-60)",IF($D32&lt;='00-Parametros'!$C$19,"Fase 3 - Aceleração de Giro (61-90)","Fase 4 - Estoque Envelhecido (&gt;90)"))))</f>
        <v/>
      </c>
      <c r="F32" s="18">
        <f>IF(OR($A32="",$D32=""),"",IF($D32&lt;='00-Parametros'!$C$20,"Estoque Premium",IF($D32&lt;='00-Parametros'!$C$21,"Estoque Saudável",IF($D32&lt;='00-Parametros'!$C$22,"Estoque Atenção","Estoque Crítico"))))</f>
        <v/>
      </c>
      <c r="G32" s="15">
        <f>IF(OR($A32="",$D32=""),"",IF($D32&lt;='00-Parametros'!$C$17,IFERROR(INDEX('06-Precificacao'!$H$4:$H$123,MATCH($A32,'06-Precificacao'!$A$4:$A$123,0)),0),IF($D32&lt;='00-Parametros'!$C$18,IFERROR(INDEX('06-Precificacao'!$I$4:$I$123,MATCH($A32,'06-Precificacao'!$A$4:$A$123,0)),0),IFERROR(INDEX('06-Precificacao'!$J$4:$J$123,MATCH($A32,'06-Precificacao'!$A$4:$A$123,0)),0))))</f>
        <v/>
      </c>
      <c r="H32" s="15">
        <f>IF(OR($A32="",$C32=""),"",IF($C32&lt;&gt;"Vendida",IFERROR(INDEX('01-Cadastro-Motos'!$I$4:$I$123,MATCH($A32,'01-Cadastro-Motos'!$A$4:$A$123,0)),""),0))</f>
        <v/>
      </c>
      <c r="I32" s="18">
        <f>IF(OR($A32="",$D32=""),"",IF($D32&gt;'00-Parametros'!$C$19,"SIM - ver Pilar 10.4","Não"))</f>
        <v/>
      </c>
    </row>
    <row r="33">
      <c r="A33" s="18">
        <f>IF('01-Cadastro-Motos'!$A33="","",'01-Cadastro-Motos'!$A33)</f>
        <v/>
      </c>
      <c r="B33" s="18">
        <f>IF($A33="","",IFERROR(INDEX('01-Cadastro-Motos'!$B$4:$B$123,MATCH($A33,'01-Cadastro-Motos'!$A$4:$A$123,0)),""))</f>
        <v/>
      </c>
      <c r="C33" s="18">
        <f>IF($A33="","",IFERROR(INDEX('01-Cadastro-Motos'!$K$4:$K$123,MATCH($A33,'01-Cadastro-Motos'!$A$4:$A$123,0)),""))</f>
        <v/>
      </c>
      <c r="D33" s="22">
        <f>IF($A33="","",IFERROR(INDEX('01-Cadastro-Motos'!$P$4:$P$123,MATCH($A33,'01-Cadastro-Motos'!$A$4:$A$123,0)),""))</f>
        <v/>
      </c>
      <c r="E33" s="18">
        <f>IF(OR($A33="",$D33=""),"",IF($D33&lt;='00-Parametros'!$C$17,"Fase 1 - Lançamento (0-30)",IF($D33&lt;='00-Parametros'!$C$18,"Fase 2 - Consolidação (31-60)",IF($D33&lt;='00-Parametros'!$C$19,"Fase 3 - Aceleração de Giro (61-90)","Fase 4 - Estoque Envelhecido (&gt;90)"))))</f>
        <v/>
      </c>
      <c r="F33" s="18">
        <f>IF(OR($A33="",$D33=""),"",IF($D33&lt;='00-Parametros'!$C$20,"Estoque Premium",IF($D33&lt;='00-Parametros'!$C$21,"Estoque Saudável",IF($D33&lt;='00-Parametros'!$C$22,"Estoque Atenção","Estoque Crítico"))))</f>
        <v/>
      </c>
      <c r="G33" s="15">
        <f>IF(OR($A33="",$D33=""),"",IF($D33&lt;='00-Parametros'!$C$17,IFERROR(INDEX('06-Precificacao'!$H$4:$H$123,MATCH($A33,'06-Precificacao'!$A$4:$A$123,0)),0),IF($D33&lt;='00-Parametros'!$C$18,IFERROR(INDEX('06-Precificacao'!$I$4:$I$123,MATCH($A33,'06-Precificacao'!$A$4:$A$123,0)),0),IFERROR(INDEX('06-Precificacao'!$J$4:$J$123,MATCH($A33,'06-Precificacao'!$A$4:$A$123,0)),0))))</f>
        <v/>
      </c>
      <c r="H33" s="15">
        <f>IF(OR($A33="",$C33=""),"",IF($C33&lt;&gt;"Vendida",IFERROR(INDEX('01-Cadastro-Motos'!$I$4:$I$123,MATCH($A33,'01-Cadastro-Motos'!$A$4:$A$123,0)),""),0))</f>
        <v/>
      </c>
      <c r="I33" s="18">
        <f>IF(OR($A33="",$D33=""),"",IF($D33&gt;'00-Parametros'!$C$19,"SIM - ver Pilar 10.4","Não"))</f>
        <v/>
      </c>
    </row>
    <row r="34">
      <c r="A34" s="18">
        <f>IF('01-Cadastro-Motos'!$A34="","",'01-Cadastro-Motos'!$A34)</f>
        <v/>
      </c>
      <c r="B34" s="18">
        <f>IF($A34="","",IFERROR(INDEX('01-Cadastro-Motos'!$B$4:$B$123,MATCH($A34,'01-Cadastro-Motos'!$A$4:$A$123,0)),""))</f>
        <v/>
      </c>
      <c r="C34" s="18">
        <f>IF($A34="","",IFERROR(INDEX('01-Cadastro-Motos'!$K$4:$K$123,MATCH($A34,'01-Cadastro-Motos'!$A$4:$A$123,0)),""))</f>
        <v/>
      </c>
      <c r="D34" s="22">
        <f>IF($A34="","",IFERROR(INDEX('01-Cadastro-Motos'!$P$4:$P$123,MATCH($A34,'01-Cadastro-Motos'!$A$4:$A$123,0)),""))</f>
        <v/>
      </c>
      <c r="E34" s="18">
        <f>IF(OR($A34="",$D34=""),"",IF($D34&lt;='00-Parametros'!$C$17,"Fase 1 - Lançamento (0-30)",IF($D34&lt;='00-Parametros'!$C$18,"Fase 2 - Consolidação (31-60)",IF($D34&lt;='00-Parametros'!$C$19,"Fase 3 - Aceleração de Giro (61-90)","Fase 4 - Estoque Envelhecido (&gt;90)"))))</f>
        <v/>
      </c>
      <c r="F34" s="18">
        <f>IF(OR($A34="",$D34=""),"",IF($D34&lt;='00-Parametros'!$C$20,"Estoque Premium",IF($D34&lt;='00-Parametros'!$C$21,"Estoque Saudável",IF($D34&lt;='00-Parametros'!$C$22,"Estoque Atenção","Estoque Crítico"))))</f>
        <v/>
      </c>
      <c r="G34" s="15">
        <f>IF(OR($A34="",$D34=""),"",IF($D34&lt;='00-Parametros'!$C$17,IFERROR(INDEX('06-Precificacao'!$H$4:$H$123,MATCH($A34,'06-Precificacao'!$A$4:$A$123,0)),0),IF($D34&lt;='00-Parametros'!$C$18,IFERROR(INDEX('06-Precificacao'!$I$4:$I$123,MATCH($A34,'06-Precificacao'!$A$4:$A$123,0)),0),IFERROR(INDEX('06-Precificacao'!$J$4:$J$123,MATCH($A34,'06-Precificacao'!$A$4:$A$123,0)),0))))</f>
        <v/>
      </c>
      <c r="H34" s="15">
        <f>IF(OR($A34="",$C34=""),"",IF($C34&lt;&gt;"Vendida",IFERROR(INDEX('01-Cadastro-Motos'!$I$4:$I$123,MATCH($A34,'01-Cadastro-Motos'!$A$4:$A$123,0)),""),0))</f>
        <v/>
      </c>
      <c r="I34" s="18">
        <f>IF(OR($A34="",$D34=""),"",IF($D34&gt;'00-Parametros'!$C$19,"SIM - ver Pilar 10.4","Não"))</f>
        <v/>
      </c>
    </row>
    <row r="35">
      <c r="A35" s="18">
        <f>IF('01-Cadastro-Motos'!$A35="","",'01-Cadastro-Motos'!$A35)</f>
        <v/>
      </c>
      <c r="B35" s="18">
        <f>IF($A35="","",IFERROR(INDEX('01-Cadastro-Motos'!$B$4:$B$123,MATCH($A35,'01-Cadastro-Motos'!$A$4:$A$123,0)),""))</f>
        <v/>
      </c>
      <c r="C35" s="18">
        <f>IF($A35="","",IFERROR(INDEX('01-Cadastro-Motos'!$K$4:$K$123,MATCH($A35,'01-Cadastro-Motos'!$A$4:$A$123,0)),""))</f>
        <v/>
      </c>
      <c r="D35" s="22">
        <f>IF($A35="","",IFERROR(INDEX('01-Cadastro-Motos'!$P$4:$P$123,MATCH($A35,'01-Cadastro-Motos'!$A$4:$A$123,0)),""))</f>
        <v/>
      </c>
      <c r="E35" s="18">
        <f>IF(OR($A35="",$D35=""),"",IF($D35&lt;='00-Parametros'!$C$17,"Fase 1 - Lançamento (0-30)",IF($D35&lt;='00-Parametros'!$C$18,"Fase 2 - Consolidação (31-60)",IF($D35&lt;='00-Parametros'!$C$19,"Fase 3 - Aceleração de Giro (61-90)","Fase 4 - Estoque Envelhecido (&gt;90)"))))</f>
        <v/>
      </c>
      <c r="F35" s="18">
        <f>IF(OR($A35="",$D35=""),"",IF($D35&lt;='00-Parametros'!$C$20,"Estoque Premium",IF($D35&lt;='00-Parametros'!$C$21,"Estoque Saudável",IF($D35&lt;='00-Parametros'!$C$22,"Estoque Atenção","Estoque Crítico"))))</f>
        <v/>
      </c>
      <c r="G35" s="15">
        <f>IF(OR($A35="",$D35=""),"",IF($D35&lt;='00-Parametros'!$C$17,IFERROR(INDEX('06-Precificacao'!$H$4:$H$123,MATCH($A35,'06-Precificacao'!$A$4:$A$123,0)),0),IF($D35&lt;='00-Parametros'!$C$18,IFERROR(INDEX('06-Precificacao'!$I$4:$I$123,MATCH($A35,'06-Precificacao'!$A$4:$A$123,0)),0),IFERROR(INDEX('06-Precificacao'!$J$4:$J$123,MATCH($A35,'06-Precificacao'!$A$4:$A$123,0)),0))))</f>
        <v/>
      </c>
      <c r="H35" s="15">
        <f>IF(OR($A35="",$C35=""),"",IF($C35&lt;&gt;"Vendida",IFERROR(INDEX('01-Cadastro-Motos'!$I$4:$I$123,MATCH($A35,'01-Cadastro-Motos'!$A$4:$A$123,0)),""),0))</f>
        <v/>
      </c>
      <c r="I35" s="18">
        <f>IF(OR($A35="",$D35=""),"",IF($D35&gt;'00-Parametros'!$C$19,"SIM - ver Pilar 10.4","Não"))</f>
        <v/>
      </c>
    </row>
    <row r="36">
      <c r="A36" s="18">
        <f>IF('01-Cadastro-Motos'!$A36="","",'01-Cadastro-Motos'!$A36)</f>
        <v/>
      </c>
      <c r="B36" s="18">
        <f>IF($A36="","",IFERROR(INDEX('01-Cadastro-Motos'!$B$4:$B$123,MATCH($A36,'01-Cadastro-Motos'!$A$4:$A$123,0)),""))</f>
        <v/>
      </c>
      <c r="C36" s="18">
        <f>IF($A36="","",IFERROR(INDEX('01-Cadastro-Motos'!$K$4:$K$123,MATCH($A36,'01-Cadastro-Motos'!$A$4:$A$123,0)),""))</f>
        <v/>
      </c>
      <c r="D36" s="22">
        <f>IF($A36="","",IFERROR(INDEX('01-Cadastro-Motos'!$P$4:$P$123,MATCH($A36,'01-Cadastro-Motos'!$A$4:$A$123,0)),""))</f>
        <v/>
      </c>
      <c r="E36" s="18">
        <f>IF(OR($A36="",$D36=""),"",IF($D36&lt;='00-Parametros'!$C$17,"Fase 1 - Lançamento (0-30)",IF($D36&lt;='00-Parametros'!$C$18,"Fase 2 - Consolidação (31-60)",IF($D36&lt;='00-Parametros'!$C$19,"Fase 3 - Aceleração de Giro (61-90)","Fase 4 - Estoque Envelhecido (&gt;90)"))))</f>
        <v/>
      </c>
      <c r="F36" s="18">
        <f>IF(OR($A36="",$D36=""),"",IF($D36&lt;='00-Parametros'!$C$20,"Estoque Premium",IF($D36&lt;='00-Parametros'!$C$21,"Estoque Saudável",IF($D36&lt;='00-Parametros'!$C$22,"Estoque Atenção","Estoque Crítico"))))</f>
        <v/>
      </c>
      <c r="G36" s="15">
        <f>IF(OR($A36="",$D36=""),"",IF($D36&lt;='00-Parametros'!$C$17,IFERROR(INDEX('06-Precificacao'!$H$4:$H$123,MATCH($A36,'06-Precificacao'!$A$4:$A$123,0)),0),IF($D36&lt;='00-Parametros'!$C$18,IFERROR(INDEX('06-Precificacao'!$I$4:$I$123,MATCH($A36,'06-Precificacao'!$A$4:$A$123,0)),0),IFERROR(INDEX('06-Precificacao'!$J$4:$J$123,MATCH($A36,'06-Precificacao'!$A$4:$A$123,0)),0))))</f>
        <v/>
      </c>
      <c r="H36" s="15">
        <f>IF(OR($A36="",$C36=""),"",IF($C36&lt;&gt;"Vendida",IFERROR(INDEX('01-Cadastro-Motos'!$I$4:$I$123,MATCH($A36,'01-Cadastro-Motos'!$A$4:$A$123,0)),""),0))</f>
        <v/>
      </c>
      <c r="I36" s="18">
        <f>IF(OR($A36="",$D36=""),"",IF($D36&gt;'00-Parametros'!$C$19,"SIM - ver Pilar 10.4","Não"))</f>
        <v/>
      </c>
    </row>
    <row r="37">
      <c r="A37" s="18">
        <f>IF('01-Cadastro-Motos'!$A37="","",'01-Cadastro-Motos'!$A37)</f>
        <v/>
      </c>
      <c r="B37" s="18">
        <f>IF($A37="","",IFERROR(INDEX('01-Cadastro-Motos'!$B$4:$B$123,MATCH($A37,'01-Cadastro-Motos'!$A$4:$A$123,0)),""))</f>
        <v/>
      </c>
      <c r="C37" s="18">
        <f>IF($A37="","",IFERROR(INDEX('01-Cadastro-Motos'!$K$4:$K$123,MATCH($A37,'01-Cadastro-Motos'!$A$4:$A$123,0)),""))</f>
        <v/>
      </c>
      <c r="D37" s="22">
        <f>IF($A37="","",IFERROR(INDEX('01-Cadastro-Motos'!$P$4:$P$123,MATCH($A37,'01-Cadastro-Motos'!$A$4:$A$123,0)),""))</f>
        <v/>
      </c>
      <c r="E37" s="18">
        <f>IF(OR($A37="",$D37=""),"",IF($D37&lt;='00-Parametros'!$C$17,"Fase 1 - Lançamento (0-30)",IF($D37&lt;='00-Parametros'!$C$18,"Fase 2 - Consolidação (31-60)",IF($D37&lt;='00-Parametros'!$C$19,"Fase 3 - Aceleração de Giro (61-90)","Fase 4 - Estoque Envelhecido (&gt;90)"))))</f>
        <v/>
      </c>
      <c r="F37" s="18">
        <f>IF(OR($A37="",$D37=""),"",IF($D37&lt;='00-Parametros'!$C$20,"Estoque Premium",IF($D37&lt;='00-Parametros'!$C$21,"Estoque Saudável",IF($D37&lt;='00-Parametros'!$C$22,"Estoque Atenção","Estoque Crítico"))))</f>
        <v/>
      </c>
      <c r="G37" s="15">
        <f>IF(OR($A37="",$D37=""),"",IF($D37&lt;='00-Parametros'!$C$17,IFERROR(INDEX('06-Precificacao'!$H$4:$H$123,MATCH($A37,'06-Precificacao'!$A$4:$A$123,0)),0),IF($D37&lt;='00-Parametros'!$C$18,IFERROR(INDEX('06-Precificacao'!$I$4:$I$123,MATCH($A37,'06-Precificacao'!$A$4:$A$123,0)),0),IFERROR(INDEX('06-Precificacao'!$J$4:$J$123,MATCH($A37,'06-Precificacao'!$A$4:$A$123,0)),0))))</f>
        <v/>
      </c>
      <c r="H37" s="15">
        <f>IF(OR($A37="",$C37=""),"",IF($C37&lt;&gt;"Vendida",IFERROR(INDEX('01-Cadastro-Motos'!$I$4:$I$123,MATCH($A37,'01-Cadastro-Motos'!$A$4:$A$123,0)),""),0))</f>
        <v/>
      </c>
      <c r="I37" s="18">
        <f>IF(OR($A37="",$D37=""),"",IF($D37&gt;'00-Parametros'!$C$19,"SIM - ver Pilar 10.4","Não"))</f>
        <v/>
      </c>
    </row>
    <row r="38">
      <c r="A38" s="18">
        <f>IF('01-Cadastro-Motos'!$A38="","",'01-Cadastro-Motos'!$A38)</f>
        <v/>
      </c>
      <c r="B38" s="18">
        <f>IF($A38="","",IFERROR(INDEX('01-Cadastro-Motos'!$B$4:$B$123,MATCH($A38,'01-Cadastro-Motos'!$A$4:$A$123,0)),""))</f>
        <v/>
      </c>
      <c r="C38" s="18">
        <f>IF($A38="","",IFERROR(INDEX('01-Cadastro-Motos'!$K$4:$K$123,MATCH($A38,'01-Cadastro-Motos'!$A$4:$A$123,0)),""))</f>
        <v/>
      </c>
      <c r="D38" s="22">
        <f>IF($A38="","",IFERROR(INDEX('01-Cadastro-Motos'!$P$4:$P$123,MATCH($A38,'01-Cadastro-Motos'!$A$4:$A$123,0)),""))</f>
        <v/>
      </c>
      <c r="E38" s="18">
        <f>IF(OR($A38="",$D38=""),"",IF($D38&lt;='00-Parametros'!$C$17,"Fase 1 - Lançamento (0-30)",IF($D38&lt;='00-Parametros'!$C$18,"Fase 2 - Consolidação (31-60)",IF($D38&lt;='00-Parametros'!$C$19,"Fase 3 - Aceleração de Giro (61-90)","Fase 4 - Estoque Envelhecido (&gt;90)"))))</f>
        <v/>
      </c>
      <c r="F38" s="18">
        <f>IF(OR($A38="",$D38=""),"",IF($D38&lt;='00-Parametros'!$C$20,"Estoque Premium",IF($D38&lt;='00-Parametros'!$C$21,"Estoque Saudável",IF($D38&lt;='00-Parametros'!$C$22,"Estoque Atenção","Estoque Crítico"))))</f>
        <v/>
      </c>
      <c r="G38" s="15">
        <f>IF(OR($A38="",$D38=""),"",IF($D38&lt;='00-Parametros'!$C$17,IFERROR(INDEX('06-Precificacao'!$H$4:$H$123,MATCH($A38,'06-Precificacao'!$A$4:$A$123,0)),0),IF($D38&lt;='00-Parametros'!$C$18,IFERROR(INDEX('06-Precificacao'!$I$4:$I$123,MATCH($A38,'06-Precificacao'!$A$4:$A$123,0)),0),IFERROR(INDEX('06-Precificacao'!$J$4:$J$123,MATCH($A38,'06-Precificacao'!$A$4:$A$123,0)),0))))</f>
        <v/>
      </c>
      <c r="H38" s="15">
        <f>IF(OR($A38="",$C38=""),"",IF($C38&lt;&gt;"Vendida",IFERROR(INDEX('01-Cadastro-Motos'!$I$4:$I$123,MATCH($A38,'01-Cadastro-Motos'!$A$4:$A$123,0)),""),0))</f>
        <v/>
      </c>
      <c r="I38" s="18">
        <f>IF(OR($A38="",$D38=""),"",IF($D38&gt;'00-Parametros'!$C$19,"SIM - ver Pilar 10.4","Não"))</f>
        <v/>
      </c>
    </row>
    <row r="39">
      <c r="A39" s="18">
        <f>IF('01-Cadastro-Motos'!$A39="","",'01-Cadastro-Motos'!$A39)</f>
        <v/>
      </c>
      <c r="B39" s="18">
        <f>IF($A39="","",IFERROR(INDEX('01-Cadastro-Motos'!$B$4:$B$123,MATCH($A39,'01-Cadastro-Motos'!$A$4:$A$123,0)),""))</f>
        <v/>
      </c>
      <c r="C39" s="18">
        <f>IF($A39="","",IFERROR(INDEX('01-Cadastro-Motos'!$K$4:$K$123,MATCH($A39,'01-Cadastro-Motos'!$A$4:$A$123,0)),""))</f>
        <v/>
      </c>
      <c r="D39" s="22">
        <f>IF($A39="","",IFERROR(INDEX('01-Cadastro-Motos'!$P$4:$P$123,MATCH($A39,'01-Cadastro-Motos'!$A$4:$A$123,0)),""))</f>
        <v/>
      </c>
      <c r="E39" s="18">
        <f>IF(OR($A39="",$D39=""),"",IF($D39&lt;='00-Parametros'!$C$17,"Fase 1 - Lançamento (0-30)",IF($D39&lt;='00-Parametros'!$C$18,"Fase 2 - Consolidação (31-60)",IF($D39&lt;='00-Parametros'!$C$19,"Fase 3 - Aceleração de Giro (61-90)","Fase 4 - Estoque Envelhecido (&gt;90)"))))</f>
        <v/>
      </c>
      <c r="F39" s="18">
        <f>IF(OR($A39="",$D39=""),"",IF($D39&lt;='00-Parametros'!$C$20,"Estoque Premium",IF($D39&lt;='00-Parametros'!$C$21,"Estoque Saudável",IF($D39&lt;='00-Parametros'!$C$22,"Estoque Atenção","Estoque Crítico"))))</f>
        <v/>
      </c>
      <c r="G39" s="15">
        <f>IF(OR($A39="",$D39=""),"",IF($D39&lt;='00-Parametros'!$C$17,IFERROR(INDEX('06-Precificacao'!$H$4:$H$123,MATCH($A39,'06-Precificacao'!$A$4:$A$123,0)),0),IF($D39&lt;='00-Parametros'!$C$18,IFERROR(INDEX('06-Precificacao'!$I$4:$I$123,MATCH($A39,'06-Precificacao'!$A$4:$A$123,0)),0),IFERROR(INDEX('06-Precificacao'!$J$4:$J$123,MATCH($A39,'06-Precificacao'!$A$4:$A$123,0)),0))))</f>
        <v/>
      </c>
      <c r="H39" s="15">
        <f>IF(OR($A39="",$C39=""),"",IF($C39&lt;&gt;"Vendida",IFERROR(INDEX('01-Cadastro-Motos'!$I$4:$I$123,MATCH($A39,'01-Cadastro-Motos'!$A$4:$A$123,0)),""),0))</f>
        <v/>
      </c>
      <c r="I39" s="18">
        <f>IF(OR($A39="",$D39=""),"",IF($D39&gt;'00-Parametros'!$C$19,"SIM - ver Pilar 10.4","Não"))</f>
        <v/>
      </c>
    </row>
    <row r="40">
      <c r="A40" s="18">
        <f>IF('01-Cadastro-Motos'!$A40="","",'01-Cadastro-Motos'!$A40)</f>
        <v/>
      </c>
      <c r="B40" s="18">
        <f>IF($A40="","",IFERROR(INDEX('01-Cadastro-Motos'!$B$4:$B$123,MATCH($A40,'01-Cadastro-Motos'!$A$4:$A$123,0)),""))</f>
        <v/>
      </c>
      <c r="C40" s="18">
        <f>IF($A40="","",IFERROR(INDEX('01-Cadastro-Motos'!$K$4:$K$123,MATCH($A40,'01-Cadastro-Motos'!$A$4:$A$123,0)),""))</f>
        <v/>
      </c>
      <c r="D40" s="22">
        <f>IF($A40="","",IFERROR(INDEX('01-Cadastro-Motos'!$P$4:$P$123,MATCH($A40,'01-Cadastro-Motos'!$A$4:$A$123,0)),""))</f>
        <v/>
      </c>
      <c r="E40" s="18">
        <f>IF(OR($A40="",$D40=""),"",IF($D40&lt;='00-Parametros'!$C$17,"Fase 1 - Lançamento (0-30)",IF($D40&lt;='00-Parametros'!$C$18,"Fase 2 - Consolidação (31-60)",IF($D40&lt;='00-Parametros'!$C$19,"Fase 3 - Aceleração de Giro (61-90)","Fase 4 - Estoque Envelhecido (&gt;90)"))))</f>
        <v/>
      </c>
      <c r="F40" s="18">
        <f>IF(OR($A40="",$D40=""),"",IF($D40&lt;='00-Parametros'!$C$20,"Estoque Premium",IF($D40&lt;='00-Parametros'!$C$21,"Estoque Saudável",IF($D40&lt;='00-Parametros'!$C$22,"Estoque Atenção","Estoque Crítico"))))</f>
        <v/>
      </c>
      <c r="G40" s="15">
        <f>IF(OR($A40="",$D40=""),"",IF($D40&lt;='00-Parametros'!$C$17,IFERROR(INDEX('06-Precificacao'!$H$4:$H$123,MATCH($A40,'06-Precificacao'!$A$4:$A$123,0)),0),IF($D40&lt;='00-Parametros'!$C$18,IFERROR(INDEX('06-Precificacao'!$I$4:$I$123,MATCH($A40,'06-Precificacao'!$A$4:$A$123,0)),0),IFERROR(INDEX('06-Precificacao'!$J$4:$J$123,MATCH($A40,'06-Precificacao'!$A$4:$A$123,0)),0))))</f>
        <v/>
      </c>
      <c r="H40" s="15">
        <f>IF(OR($A40="",$C40=""),"",IF($C40&lt;&gt;"Vendida",IFERROR(INDEX('01-Cadastro-Motos'!$I$4:$I$123,MATCH($A40,'01-Cadastro-Motos'!$A$4:$A$123,0)),""),0))</f>
        <v/>
      </c>
      <c r="I40" s="18">
        <f>IF(OR($A40="",$D40=""),"",IF($D40&gt;'00-Parametros'!$C$19,"SIM - ver Pilar 10.4","Não"))</f>
        <v/>
      </c>
    </row>
    <row r="41">
      <c r="A41" s="18">
        <f>IF('01-Cadastro-Motos'!$A41="","",'01-Cadastro-Motos'!$A41)</f>
        <v/>
      </c>
      <c r="B41" s="18">
        <f>IF($A41="","",IFERROR(INDEX('01-Cadastro-Motos'!$B$4:$B$123,MATCH($A41,'01-Cadastro-Motos'!$A$4:$A$123,0)),""))</f>
        <v/>
      </c>
      <c r="C41" s="18">
        <f>IF($A41="","",IFERROR(INDEX('01-Cadastro-Motos'!$K$4:$K$123,MATCH($A41,'01-Cadastro-Motos'!$A$4:$A$123,0)),""))</f>
        <v/>
      </c>
      <c r="D41" s="22">
        <f>IF($A41="","",IFERROR(INDEX('01-Cadastro-Motos'!$P$4:$P$123,MATCH($A41,'01-Cadastro-Motos'!$A$4:$A$123,0)),""))</f>
        <v/>
      </c>
      <c r="E41" s="18">
        <f>IF(OR($A41="",$D41=""),"",IF($D41&lt;='00-Parametros'!$C$17,"Fase 1 - Lançamento (0-30)",IF($D41&lt;='00-Parametros'!$C$18,"Fase 2 - Consolidação (31-60)",IF($D41&lt;='00-Parametros'!$C$19,"Fase 3 - Aceleração de Giro (61-90)","Fase 4 - Estoque Envelhecido (&gt;90)"))))</f>
        <v/>
      </c>
      <c r="F41" s="18">
        <f>IF(OR($A41="",$D41=""),"",IF($D41&lt;='00-Parametros'!$C$20,"Estoque Premium",IF($D41&lt;='00-Parametros'!$C$21,"Estoque Saudável",IF($D41&lt;='00-Parametros'!$C$22,"Estoque Atenção","Estoque Crítico"))))</f>
        <v/>
      </c>
      <c r="G41" s="15">
        <f>IF(OR($A41="",$D41=""),"",IF($D41&lt;='00-Parametros'!$C$17,IFERROR(INDEX('06-Precificacao'!$H$4:$H$123,MATCH($A41,'06-Precificacao'!$A$4:$A$123,0)),0),IF($D41&lt;='00-Parametros'!$C$18,IFERROR(INDEX('06-Precificacao'!$I$4:$I$123,MATCH($A41,'06-Precificacao'!$A$4:$A$123,0)),0),IFERROR(INDEX('06-Precificacao'!$J$4:$J$123,MATCH($A41,'06-Precificacao'!$A$4:$A$123,0)),0))))</f>
        <v/>
      </c>
      <c r="H41" s="15">
        <f>IF(OR($A41="",$C41=""),"",IF($C41&lt;&gt;"Vendida",IFERROR(INDEX('01-Cadastro-Motos'!$I$4:$I$123,MATCH($A41,'01-Cadastro-Motos'!$A$4:$A$123,0)),""),0))</f>
        <v/>
      </c>
      <c r="I41" s="18">
        <f>IF(OR($A41="",$D41=""),"",IF($D41&gt;'00-Parametros'!$C$19,"SIM - ver Pilar 10.4","Não"))</f>
        <v/>
      </c>
    </row>
    <row r="42">
      <c r="A42" s="18">
        <f>IF('01-Cadastro-Motos'!$A42="","",'01-Cadastro-Motos'!$A42)</f>
        <v/>
      </c>
      <c r="B42" s="18">
        <f>IF($A42="","",IFERROR(INDEX('01-Cadastro-Motos'!$B$4:$B$123,MATCH($A42,'01-Cadastro-Motos'!$A$4:$A$123,0)),""))</f>
        <v/>
      </c>
      <c r="C42" s="18">
        <f>IF($A42="","",IFERROR(INDEX('01-Cadastro-Motos'!$K$4:$K$123,MATCH($A42,'01-Cadastro-Motos'!$A$4:$A$123,0)),""))</f>
        <v/>
      </c>
      <c r="D42" s="22">
        <f>IF($A42="","",IFERROR(INDEX('01-Cadastro-Motos'!$P$4:$P$123,MATCH($A42,'01-Cadastro-Motos'!$A$4:$A$123,0)),""))</f>
        <v/>
      </c>
      <c r="E42" s="18">
        <f>IF(OR($A42="",$D42=""),"",IF($D42&lt;='00-Parametros'!$C$17,"Fase 1 - Lançamento (0-30)",IF($D42&lt;='00-Parametros'!$C$18,"Fase 2 - Consolidação (31-60)",IF($D42&lt;='00-Parametros'!$C$19,"Fase 3 - Aceleração de Giro (61-90)","Fase 4 - Estoque Envelhecido (&gt;90)"))))</f>
        <v/>
      </c>
      <c r="F42" s="18">
        <f>IF(OR($A42="",$D42=""),"",IF($D42&lt;='00-Parametros'!$C$20,"Estoque Premium",IF($D42&lt;='00-Parametros'!$C$21,"Estoque Saudável",IF($D42&lt;='00-Parametros'!$C$22,"Estoque Atenção","Estoque Crítico"))))</f>
        <v/>
      </c>
      <c r="G42" s="15">
        <f>IF(OR($A42="",$D42=""),"",IF($D42&lt;='00-Parametros'!$C$17,IFERROR(INDEX('06-Precificacao'!$H$4:$H$123,MATCH($A42,'06-Precificacao'!$A$4:$A$123,0)),0),IF($D42&lt;='00-Parametros'!$C$18,IFERROR(INDEX('06-Precificacao'!$I$4:$I$123,MATCH($A42,'06-Precificacao'!$A$4:$A$123,0)),0),IFERROR(INDEX('06-Precificacao'!$J$4:$J$123,MATCH($A42,'06-Precificacao'!$A$4:$A$123,0)),0))))</f>
        <v/>
      </c>
      <c r="H42" s="15">
        <f>IF(OR($A42="",$C42=""),"",IF($C42&lt;&gt;"Vendida",IFERROR(INDEX('01-Cadastro-Motos'!$I$4:$I$123,MATCH($A42,'01-Cadastro-Motos'!$A$4:$A$123,0)),""),0))</f>
        <v/>
      </c>
      <c r="I42" s="18">
        <f>IF(OR($A42="",$D42=""),"",IF($D42&gt;'00-Parametros'!$C$19,"SIM - ver Pilar 10.4","Não"))</f>
        <v/>
      </c>
    </row>
    <row r="43">
      <c r="A43" s="18">
        <f>IF('01-Cadastro-Motos'!$A43="","",'01-Cadastro-Motos'!$A43)</f>
        <v/>
      </c>
      <c r="B43" s="18">
        <f>IF($A43="","",IFERROR(INDEX('01-Cadastro-Motos'!$B$4:$B$123,MATCH($A43,'01-Cadastro-Motos'!$A$4:$A$123,0)),""))</f>
        <v/>
      </c>
      <c r="C43" s="18">
        <f>IF($A43="","",IFERROR(INDEX('01-Cadastro-Motos'!$K$4:$K$123,MATCH($A43,'01-Cadastro-Motos'!$A$4:$A$123,0)),""))</f>
        <v/>
      </c>
      <c r="D43" s="22">
        <f>IF($A43="","",IFERROR(INDEX('01-Cadastro-Motos'!$P$4:$P$123,MATCH($A43,'01-Cadastro-Motos'!$A$4:$A$123,0)),""))</f>
        <v/>
      </c>
      <c r="E43" s="18">
        <f>IF(OR($A43="",$D43=""),"",IF($D43&lt;='00-Parametros'!$C$17,"Fase 1 - Lançamento (0-30)",IF($D43&lt;='00-Parametros'!$C$18,"Fase 2 - Consolidação (31-60)",IF($D43&lt;='00-Parametros'!$C$19,"Fase 3 - Aceleração de Giro (61-90)","Fase 4 - Estoque Envelhecido (&gt;90)"))))</f>
        <v/>
      </c>
      <c r="F43" s="18">
        <f>IF(OR($A43="",$D43=""),"",IF($D43&lt;='00-Parametros'!$C$20,"Estoque Premium",IF($D43&lt;='00-Parametros'!$C$21,"Estoque Saudável",IF($D43&lt;='00-Parametros'!$C$22,"Estoque Atenção","Estoque Crítico"))))</f>
        <v/>
      </c>
      <c r="G43" s="15">
        <f>IF(OR($A43="",$D43=""),"",IF($D43&lt;='00-Parametros'!$C$17,IFERROR(INDEX('06-Precificacao'!$H$4:$H$123,MATCH($A43,'06-Precificacao'!$A$4:$A$123,0)),0),IF($D43&lt;='00-Parametros'!$C$18,IFERROR(INDEX('06-Precificacao'!$I$4:$I$123,MATCH($A43,'06-Precificacao'!$A$4:$A$123,0)),0),IFERROR(INDEX('06-Precificacao'!$J$4:$J$123,MATCH($A43,'06-Precificacao'!$A$4:$A$123,0)),0))))</f>
        <v/>
      </c>
      <c r="H43" s="15">
        <f>IF(OR($A43="",$C43=""),"",IF($C43&lt;&gt;"Vendida",IFERROR(INDEX('01-Cadastro-Motos'!$I$4:$I$123,MATCH($A43,'01-Cadastro-Motos'!$A$4:$A$123,0)),""),0))</f>
        <v/>
      </c>
      <c r="I43" s="18">
        <f>IF(OR($A43="",$D43=""),"",IF($D43&gt;'00-Parametros'!$C$19,"SIM - ver Pilar 10.4","Não"))</f>
        <v/>
      </c>
    </row>
    <row r="44">
      <c r="A44" s="18">
        <f>IF('01-Cadastro-Motos'!$A44="","",'01-Cadastro-Motos'!$A44)</f>
        <v/>
      </c>
      <c r="B44" s="18">
        <f>IF($A44="","",IFERROR(INDEX('01-Cadastro-Motos'!$B$4:$B$123,MATCH($A44,'01-Cadastro-Motos'!$A$4:$A$123,0)),""))</f>
        <v/>
      </c>
      <c r="C44" s="18">
        <f>IF($A44="","",IFERROR(INDEX('01-Cadastro-Motos'!$K$4:$K$123,MATCH($A44,'01-Cadastro-Motos'!$A$4:$A$123,0)),""))</f>
        <v/>
      </c>
      <c r="D44" s="22">
        <f>IF($A44="","",IFERROR(INDEX('01-Cadastro-Motos'!$P$4:$P$123,MATCH($A44,'01-Cadastro-Motos'!$A$4:$A$123,0)),""))</f>
        <v/>
      </c>
      <c r="E44" s="18">
        <f>IF(OR($A44="",$D44=""),"",IF($D44&lt;='00-Parametros'!$C$17,"Fase 1 - Lançamento (0-30)",IF($D44&lt;='00-Parametros'!$C$18,"Fase 2 - Consolidação (31-60)",IF($D44&lt;='00-Parametros'!$C$19,"Fase 3 - Aceleração de Giro (61-90)","Fase 4 - Estoque Envelhecido (&gt;90)"))))</f>
        <v/>
      </c>
      <c r="F44" s="18">
        <f>IF(OR($A44="",$D44=""),"",IF($D44&lt;='00-Parametros'!$C$20,"Estoque Premium",IF($D44&lt;='00-Parametros'!$C$21,"Estoque Saudável",IF($D44&lt;='00-Parametros'!$C$22,"Estoque Atenção","Estoque Crítico"))))</f>
        <v/>
      </c>
      <c r="G44" s="15">
        <f>IF(OR($A44="",$D44=""),"",IF($D44&lt;='00-Parametros'!$C$17,IFERROR(INDEX('06-Precificacao'!$H$4:$H$123,MATCH($A44,'06-Precificacao'!$A$4:$A$123,0)),0),IF($D44&lt;='00-Parametros'!$C$18,IFERROR(INDEX('06-Precificacao'!$I$4:$I$123,MATCH($A44,'06-Precificacao'!$A$4:$A$123,0)),0),IFERROR(INDEX('06-Precificacao'!$J$4:$J$123,MATCH($A44,'06-Precificacao'!$A$4:$A$123,0)),0))))</f>
        <v/>
      </c>
      <c r="H44" s="15">
        <f>IF(OR($A44="",$C44=""),"",IF($C44&lt;&gt;"Vendida",IFERROR(INDEX('01-Cadastro-Motos'!$I$4:$I$123,MATCH($A44,'01-Cadastro-Motos'!$A$4:$A$123,0)),""),0))</f>
        <v/>
      </c>
      <c r="I44" s="18">
        <f>IF(OR($A44="",$D44=""),"",IF($D44&gt;'00-Parametros'!$C$19,"SIM - ver Pilar 10.4","Não"))</f>
        <v/>
      </c>
    </row>
    <row r="45">
      <c r="A45" s="18">
        <f>IF('01-Cadastro-Motos'!$A45="","",'01-Cadastro-Motos'!$A45)</f>
        <v/>
      </c>
      <c r="B45" s="18">
        <f>IF($A45="","",IFERROR(INDEX('01-Cadastro-Motos'!$B$4:$B$123,MATCH($A45,'01-Cadastro-Motos'!$A$4:$A$123,0)),""))</f>
        <v/>
      </c>
      <c r="C45" s="18">
        <f>IF($A45="","",IFERROR(INDEX('01-Cadastro-Motos'!$K$4:$K$123,MATCH($A45,'01-Cadastro-Motos'!$A$4:$A$123,0)),""))</f>
        <v/>
      </c>
      <c r="D45" s="22">
        <f>IF($A45="","",IFERROR(INDEX('01-Cadastro-Motos'!$P$4:$P$123,MATCH($A45,'01-Cadastro-Motos'!$A$4:$A$123,0)),""))</f>
        <v/>
      </c>
      <c r="E45" s="18">
        <f>IF(OR($A45="",$D45=""),"",IF($D45&lt;='00-Parametros'!$C$17,"Fase 1 - Lançamento (0-30)",IF($D45&lt;='00-Parametros'!$C$18,"Fase 2 - Consolidação (31-60)",IF($D45&lt;='00-Parametros'!$C$19,"Fase 3 - Aceleração de Giro (61-90)","Fase 4 - Estoque Envelhecido (&gt;90)"))))</f>
        <v/>
      </c>
      <c r="F45" s="18">
        <f>IF(OR($A45="",$D45=""),"",IF($D45&lt;='00-Parametros'!$C$20,"Estoque Premium",IF($D45&lt;='00-Parametros'!$C$21,"Estoque Saudável",IF($D45&lt;='00-Parametros'!$C$22,"Estoque Atenção","Estoque Crítico"))))</f>
        <v/>
      </c>
      <c r="G45" s="15">
        <f>IF(OR($A45="",$D45=""),"",IF($D45&lt;='00-Parametros'!$C$17,IFERROR(INDEX('06-Precificacao'!$H$4:$H$123,MATCH($A45,'06-Precificacao'!$A$4:$A$123,0)),0),IF($D45&lt;='00-Parametros'!$C$18,IFERROR(INDEX('06-Precificacao'!$I$4:$I$123,MATCH($A45,'06-Precificacao'!$A$4:$A$123,0)),0),IFERROR(INDEX('06-Precificacao'!$J$4:$J$123,MATCH($A45,'06-Precificacao'!$A$4:$A$123,0)),0))))</f>
        <v/>
      </c>
      <c r="H45" s="15">
        <f>IF(OR($A45="",$C45=""),"",IF($C45&lt;&gt;"Vendida",IFERROR(INDEX('01-Cadastro-Motos'!$I$4:$I$123,MATCH($A45,'01-Cadastro-Motos'!$A$4:$A$123,0)),""),0))</f>
        <v/>
      </c>
      <c r="I45" s="18">
        <f>IF(OR($A45="",$D45=""),"",IF($D45&gt;'00-Parametros'!$C$19,"SIM - ver Pilar 10.4","Não"))</f>
        <v/>
      </c>
    </row>
    <row r="46">
      <c r="A46" s="18">
        <f>IF('01-Cadastro-Motos'!$A46="","",'01-Cadastro-Motos'!$A46)</f>
        <v/>
      </c>
      <c r="B46" s="18">
        <f>IF($A46="","",IFERROR(INDEX('01-Cadastro-Motos'!$B$4:$B$123,MATCH($A46,'01-Cadastro-Motos'!$A$4:$A$123,0)),""))</f>
        <v/>
      </c>
      <c r="C46" s="18">
        <f>IF($A46="","",IFERROR(INDEX('01-Cadastro-Motos'!$K$4:$K$123,MATCH($A46,'01-Cadastro-Motos'!$A$4:$A$123,0)),""))</f>
        <v/>
      </c>
      <c r="D46" s="22">
        <f>IF($A46="","",IFERROR(INDEX('01-Cadastro-Motos'!$P$4:$P$123,MATCH($A46,'01-Cadastro-Motos'!$A$4:$A$123,0)),""))</f>
        <v/>
      </c>
      <c r="E46" s="18">
        <f>IF(OR($A46="",$D46=""),"",IF($D46&lt;='00-Parametros'!$C$17,"Fase 1 - Lançamento (0-30)",IF($D46&lt;='00-Parametros'!$C$18,"Fase 2 - Consolidação (31-60)",IF($D46&lt;='00-Parametros'!$C$19,"Fase 3 - Aceleração de Giro (61-90)","Fase 4 - Estoque Envelhecido (&gt;90)"))))</f>
        <v/>
      </c>
      <c r="F46" s="18">
        <f>IF(OR($A46="",$D46=""),"",IF($D46&lt;='00-Parametros'!$C$20,"Estoque Premium",IF($D46&lt;='00-Parametros'!$C$21,"Estoque Saudável",IF($D46&lt;='00-Parametros'!$C$22,"Estoque Atenção","Estoque Crítico"))))</f>
        <v/>
      </c>
      <c r="G46" s="15">
        <f>IF(OR($A46="",$D46=""),"",IF($D46&lt;='00-Parametros'!$C$17,IFERROR(INDEX('06-Precificacao'!$H$4:$H$123,MATCH($A46,'06-Precificacao'!$A$4:$A$123,0)),0),IF($D46&lt;='00-Parametros'!$C$18,IFERROR(INDEX('06-Precificacao'!$I$4:$I$123,MATCH($A46,'06-Precificacao'!$A$4:$A$123,0)),0),IFERROR(INDEX('06-Precificacao'!$J$4:$J$123,MATCH($A46,'06-Precificacao'!$A$4:$A$123,0)),0))))</f>
        <v/>
      </c>
      <c r="H46" s="15">
        <f>IF(OR($A46="",$C46=""),"",IF($C46&lt;&gt;"Vendida",IFERROR(INDEX('01-Cadastro-Motos'!$I$4:$I$123,MATCH($A46,'01-Cadastro-Motos'!$A$4:$A$123,0)),""),0))</f>
        <v/>
      </c>
      <c r="I46" s="18">
        <f>IF(OR($A46="",$D46=""),"",IF($D46&gt;'00-Parametros'!$C$19,"SIM - ver Pilar 10.4","Não"))</f>
        <v/>
      </c>
    </row>
    <row r="47">
      <c r="A47" s="18">
        <f>IF('01-Cadastro-Motos'!$A47="","",'01-Cadastro-Motos'!$A47)</f>
        <v/>
      </c>
      <c r="B47" s="18">
        <f>IF($A47="","",IFERROR(INDEX('01-Cadastro-Motos'!$B$4:$B$123,MATCH($A47,'01-Cadastro-Motos'!$A$4:$A$123,0)),""))</f>
        <v/>
      </c>
      <c r="C47" s="18">
        <f>IF($A47="","",IFERROR(INDEX('01-Cadastro-Motos'!$K$4:$K$123,MATCH($A47,'01-Cadastro-Motos'!$A$4:$A$123,0)),""))</f>
        <v/>
      </c>
      <c r="D47" s="22">
        <f>IF($A47="","",IFERROR(INDEX('01-Cadastro-Motos'!$P$4:$P$123,MATCH($A47,'01-Cadastro-Motos'!$A$4:$A$123,0)),""))</f>
        <v/>
      </c>
      <c r="E47" s="18">
        <f>IF(OR($A47="",$D47=""),"",IF($D47&lt;='00-Parametros'!$C$17,"Fase 1 - Lançamento (0-30)",IF($D47&lt;='00-Parametros'!$C$18,"Fase 2 - Consolidação (31-60)",IF($D47&lt;='00-Parametros'!$C$19,"Fase 3 - Aceleração de Giro (61-90)","Fase 4 - Estoque Envelhecido (&gt;90)"))))</f>
        <v/>
      </c>
      <c r="F47" s="18">
        <f>IF(OR($A47="",$D47=""),"",IF($D47&lt;='00-Parametros'!$C$20,"Estoque Premium",IF($D47&lt;='00-Parametros'!$C$21,"Estoque Saudável",IF($D47&lt;='00-Parametros'!$C$22,"Estoque Atenção","Estoque Crítico"))))</f>
        <v/>
      </c>
      <c r="G47" s="15">
        <f>IF(OR($A47="",$D47=""),"",IF($D47&lt;='00-Parametros'!$C$17,IFERROR(INDEX('06-Precificacao'!$H$4:$H$123,MATCH($A47,'06-Precificacao'!$A$4:$A$123,0)),0),IF($D47&lt;='00-Parametros'!$C$18,IFERROR(INDEX('06-Precificacao'!$I$4:$I$123,MATCH($A47,'06-Precificacao'!$A$4:$A$123,0)),0),IFERROR(INDEX('06-Precificacao'!$J$4:$J$123,MATCH($A47,'06-Precificacao'!$A$4:$A$123,0)),0))))</f>
        <v/>
      </c>
      <c r="H47" s="15">
        <f>IF(OR($A47="",$C47=""),"",IF($C47&lt;&gt;"Vendida",IFERROR(INDEX('01-Cadastro-Motos'!$I$4:$I$123,MATCH($A47,'01-Cadastro-Motos'!$A$4:$A$123,0)),""),0))</f>
        <v/>
      </c>
      <c r="I47" s="18">
        <f>IF(OR($A47="",$D47=""),"",IF($D47&gt;'00-Parametros'!$C$19,"SIM - ver Pilar 10.4","Não"))</f>
        <v/>
      </c>
    </row>
    <row r="48">
      <c r="A48" s="18">
        <f>IF('01-Cadastro-Motos'!$A48="","",'01-Cadastro-Motos'!$A48)</f>
        <v/>
      </c>
      <c r="B48" s="18">
        <f>IF($A48="","",IFERROR(INDEX('01-Cadastro-Motos'!$B$4:$B$123,MATCH($A48,'01-Cadastro-Motos'!$A$4:$A$123,0)),""))</f>
        <v/>
      </c>
      <c r="C48" s="18">
        <f>IF($A48="","",IFERROR(INDEX('01-Cadastro-Motos'!$K$4:$K$123,MATCH($A48,'01-Cadastro-Motos'!$A$4:$A$123,0)),""))</f>
        <v/>
      </c>
      <c r="D48" s="22">
        <f>IF($A48="","",IFERROR(INDEX('01-Cadastro-Motos'!$P$4:$P$123,MATCH($A48,'01-Cadastro-Motos'!$A$4:$A$123,0)),""))</f>
        <v/>
      </c>
      <c r="E48" s="18">
        <f>IF(OR($A48="",$D48=""),"",IF($D48&lt;='00-Parametros'!$C$17,"Fase 1 - Lançamento (0-30)",IF($D48&lt;='00-Parametros'!$C$18,"Fase 2 - Consolidação (31-60)",IF($D48&lt;='00-Parametros'!$C$19,"Fase 3 - Aceleração de Giro (61-90)","Fase 4 - Estoque Envelhecido (&gt;90)"))))</f>
        <v/>
      </c>
      <c r="F48" s="18">
        <f>IF(OR($A48="",$D48=""),"",IF($D48&lt;='00-Parametros'!$C$20,"Estoque Premium",IF($D48&lt;='00-Parametros'!$C$21,"Estoque Saudável",IF($D48&lt;='00-Parametros'!$C$22,"Estoque Atenção","Estoque Crítico"))))</f>
        <v/>
      </c>
      <c r="G48" s="15">
        <f>IF(OR($A48="",$D48=""),"",IF($D48&lt;='00-Parametros'!$C$17,IFERROR(INDEX('06-Precificacao'!$H$4:$H$123,MATCH($A48,'06-Precificacao'!$A$4:$A$123,0)),0),IF($D48&lt;='00-Parametros'!$C$18,IFERROR(INDEX('06-Precificacao'!$I$4:$I$123,MATCH($A48,'06-Precificacao'!$A$4:$A$123,0)),0),IFERROR(INDEX('06-Precificacao'!$J$4:$J$123,MATCH($A48,'06-Precificacao'!$A$4:$A$123,0)),0))))</f>
        <v/>
      </c>
      <c r="H48" s="15">
        <f>IF(OR($A48="",$C48=""),"",IF($C48&lt;&gt;"Vendida",IFERROR(INDEX('01-Cadastro-Motos'!$I$4:$I$123,MATCH($A48,'01-Cadastro-Motos'!$A$4:$A$123,0)),""),0))</f>
        <v/>
      </c>
      <c r="I48" s="18">
        <f>IF(OR($A48="",$D48=""),"",IF($D48&gt;'00-Parametros'!$C$19,"SIM - ver Pilar 10.4","Não"))</f>
        <v/>
      </c>
    </row>
    <row r="49">
      <c r="A49" s="18">
        <f>IF('01-Cadastro-Motos'!$A49="","",'01-Cadastro-Motos'!$A49)</f>
        <v/>
      </c>
      <c r="B49" s="18">
        <f>IF($A49="","",IFERROR(INDEX('01-Cadastro-Motos'!$B$4:$B$123,MATCH($A49,'01-Cadastro-Motos'!$A$4:$A$123,0)),""))</f>
        <v/>
      </c>
      <c r="C49" s="18">
        <f>IF($A49="","",IFERROR(INDEX('01-Cadastro-Motos'!$K$4:$K$123,MATCH($A49,'01-Cadastro-Motos'!$A$4:$A$123,0)),""))</f>
        <v/>
      </c>
      <c r="D49" s="22">
        <f>IF($A49="","",IFERROR(INDEX('01-Cadastro-Motos'!$P$4:$P$123,MATCH($A49,'01-Cadastro-Motos'!$A$4:$A$123,0)),""))</f>
        <v/>
      </c>
      <c r="E49" s="18">
        <f>IF(OR($A49="",$D49=""),"",IF($D49&lt;='00-Parametros'!$C$17,"Fase 1 - Lançamento (0-30)",IF($D49&lt;='00-Parametros'!$C$18,"Fase 2 - Consolidação (31-60)",IF($D49&lt;='00-Parametros'!$C$19,"Fase 3 - Aceleração de Giro (61-90)","Fase 4 - Estoque Envelhecido (&gt;90)"))))</f>
        <v/>
      </c>
      <c r="F49" s="18">
        <f>IF(OR($A49="",$D49=""),"",IF($D49&lt;='00-Parametros'!$C$20,"Estoque Premium",IF($D49&lt;='00-Parametros'!$C$21,"Estoque Saudável",IF($D49&lt;='00-Parametros'!$C$22,"Estoque Atenção","Estoque Crítico"))))</f>
        <v/>
      </c>
      <c r="G49" s="15">
        <f>IF(OR($A49="",$D49=""),"",IF($D49&lt;='00-Parametros'!$C$17,IFERROR(INDEX('06-Precificacao'!$H$4:$H$123,MATCH($A49,'06-Precificacao'!$A$4:$A$123,0)),0),IF($D49&lt;='00-Parametros'!$C$18,IFERROR(INDEX('06-Precificacao'!$I$4:$I$123,MATCH($A49,'06-Precificacao'!$A$4:$A$123,0)),0),IFERROR(INDEX('06-Precificacao'!$J$4:$J$123,MATCH($A49,'06-Precificacao'!$A$4:$A$123,0)),0))))</f>
        <v/>
      </c>
      <c r="H49" s="15">
        <f>IF(OR($A49="",$C49=""),"",IF($C49&lt;&gt;"Vendida",IFERROR(INDEX('01-Cadastro-Motos'!$I$4:$I$123,MATCH($A49,'01-Cadastro-Motos'!$A$4:$A$123,0)),""),0))</f>
        <v/>
      </c>
      <c r="I49" s="18">
        <f>IF(OR($A49="",$D49=""),"",IF($D49&gt;'00-Parametros'!$C$19,"SIM - ver Pilar 10.4","Não"))</f>
        <v/>
      </c>
    </row>
    <row r="50">
      <c r="A50" s="18">
        <f>IF('01-Cadastro-Motos'!$A50="","",'01-Cadastro-Motos'!$A50)</f>
        <v/>
      </c>
      <c r="B50" s="18">
        <f>IF($A50="","",IFERROR(INDEX('01-Cadastro-Motos'!$B$4:$B$123,MATCH($A50,'01-Cadastro-Motos'!$A$4:$A$123,0)),""))</f>
        <v/>
      </c>
      <c r="C50" s="18">
        <f>IF($A50="","",IFERROR(INDEX('01-Cadastro-Motos'!$K$4:$K$123,MATCH($A50,'01-Cadastro-Motos'!$A$4:$A$123,0)),""))</f>
        <v/>
      </c>
      <c r="D50" s="22">
        <f>IF($A50="","",IFERROR(INDEX('01-Cadastro-Motos'!$P$4:$P$123,MATCH($A50,'01-Cadastro-Motos'!$A$4:$A$123,0)),""))</f>
        <v/>
      </c>
      <c r="E50" s="18">
        <f>IF(OR($A50="",$D50=""),"",IF($D50&lt;='00-Parametros'!$C$17,"Fase 1 - Lançamento (0-30)",IF($D50&lt;='00-Parametros'!$C$18,"Fase 2 - Consolidação (31-60)",IF($D50&lt;='00-Parametros'!$C$19,"Fase 3 - Aceleração de Giro (61-90)","Fase 4 - Estoque Envelhecido (&gt;90)"))))</f>
        <v/>
      </c>
      <c r="F50" s="18">
        <f>IF(OR($A50="",$D50=""),"",IF($D50&lt;='00-Parametros'!$C$20,"Estoque Premium",IF($D50&lt;='00-Parametros'!$C$21,"Estoque Saudável",IF($D50&lt;='00-Parametros'!$C$22,"Estoque Atenção","Estoque Crítico"))))</f>
        <v/>
      </c>
      <c r="G50" s="15">
        <f>IF(OR($A50="",$D50=""),"",IF($D50&lt;='00-Parametros'!$C$17,IFERROR(INDEX('06-Precificacao'!$H$4:$H$123,MATCH($A50,'06-Precificacao'!$A$4:$A$123,0)),0),IF($D50&lt;='00-Parametros'!$C$18,IFERROR(INDEX('06-Precificacao'!$I$4:$I$123,MATCH($A50,'06-Precificacao'!$A$4:$A$123,0)),0),IFERROR(INDEX('06-Precificacao'!$J$4:$J$123,MATCH($A50,'06-Precificacao'!$A$4:$A$123,0)),0))))</f>
        <v/>
      </c>
      <c r="H50" s="15">
        <f>IF(OR($A50="",$C50=""),"",IF($C50&lt;&gt;"Vendida",IFERROR(INDEX('01-Cadastro-Motos'!$I$4:$I$123,MATCH($A50,'01-Cadastro-Motos'!$A$4:$A$123,0)),""),0))</f>
        <v/>
      </c>
      <c r="I50" s="18">
        <f>IF(OR($A50="",$D50=""),"",IF($D50&gt;'00-Parametros'!$C$19,"SIM - ver Pilar 10.4","Não"))</f>
        <v/>
      </c>
    </row>
    <row r="51">
      <c r="A51" s="18">
        <f>IF('01-Cadastro-Motos'!$A51="","",'01-Cadastro-Motos'!$A51)</f>
        <v/>
      </c>
      <c r="B51" s="18">
        <f>IF($A51="","",IFERROR(INDEX('01-Cadastro-Motos'!$B$4:$B$123,MATCH($A51,'01-Cadastro-Motos'!$A$4:$A$123,0)),""))</f>
        <v/>
      </c>
      <c r="C51" s="18">
        <f>IF($A51="","",IFERROR(INDEX('01-Cadastro-Motos'!$K$4:$K$123,MATCH($A51,'01-Cadastro-Motos'!$A$4:$A$123,0)),""))</f>
        <v/>
      </c>
      <c r="D51" s="22">
        <f>IF($A51="","",IFERROR(INDEX('01-Cadastro-Motos'!$P$4:$P$123,MATCH($A51,'01-Cadastro-Motos'!$A$4:$A$123,0)),""))</f>
        <v/>
      </c>
      <c r="E51" s="18">
        <f>IF(OR($A51="",$D51=""),"",IF($D51&lt;='00-Parametros'!$C$17,"Fase 1 - Lançamento (0-30)",IF($D51&lt;='00-Parametros'!$C$18,"Fase 2 - Consolidação (31-60)",IF($D51&lt;='00-Parametros'!$C$19,"Fase 3 - Aceleração de Giro (61-90)","Fase 4 - Estoque Envelhecido (&gt;90)"))))</f>
        <v/>
      </c>
      <c r="F51" s="18">
        <f>IF(OR($A51="",$D51=""),"",IF($D51&lt;='00-Parametros'!$C$20,"Estoque Premium",IF($D51&lt;='00-Parametros'!$C$21,"Estoque Saudável",IF($D51&lt;='00-Parametros'!$C$22,"Estoque Atenção","Estoque Crítico"))))</f>
        <v/>
      </c>
      <c r="G51" s="15">
        <f>IF(OR($A51="",$D51=""),"",IF($D51&lt;='00-Parametros'!$C$17,IFERROR(INDEX('06-Precificacao'!$H$4:$H$123,MATCH($A51,'06-Precificacao'!$A$4:$A$123,0)),0),IF($D51&lt;='00-Parametros'!$C$18,IFERROR(INDEX('06-Precificacao'!$I$4:$I$123,MATCH($A51,'06-Precificacao'!$A$4:$A$123,0)),0),IFERROR(INDEX('06-Precificacao'!$J$4:$J$123,MATCH($A51,'06-Precificacao'!$A$4:$A$123,0)),0))))</f>
        <v/>
      </c>
      <c r="H51" s="15">
        <f>IF(OR($A51="",$C51=""),"",IF($C51&lt;&gt;"Vendida",IFERROR(INDEX('01-Cadastro-Motos'!$I$4:$I$123,MATCH($A51,'01-Cadastro-Motos'!$A$4:$A$123,0)),""),0))</f>
        <v/>
      </c>
      <c r="I51" s="18">
        <f>IF(OR($A51="",$D51=""),"",IF($D51&gt;'00-Parametros'!$C$19,"SIM - ver Pilar 10.4","Não"))</f>
        <v/>
      </c>
    </row>
    <row r="52">
      <c r="A52" s="18">
        <f>IF('01-Cadastro-Motos'!$A52="","",'01-Cadastro-Motos'!$A52)</f>
        <v/>
      </c>
      <c r="B52" s="18">
        <f>IF($A52="","",IFERROR(INDEX('01-Cadastro-Motos'!$B$4:$B$123,MATCH($A52,'01-Cadastro-Motos'!$A$4:$A$123,0)),""))</f>
        <v/>
      </c>
      <c r="C52" s="18">
        <f>IF($A52="","",IFERROR(INDEX('01-Cadastro-Motos'!$K$4:$K$123,MATCH($A52,'01-Cadastro-Motos'!$A$4:$A$123,0)),""))</f>
        <v/>
      </c>
      <c r="D52" s="22">
        <f>IF($A52="","",IFERROR(INDEX('01-Cadastro-Motos'!$P$4:$P$123,MATCH($A52,'01-Cadastro-Motos'!$A$4:$A$123,0)),""))</f>
        <v/>
      </c>
      <c r="E52" s="18">
        <f>IF(OR($A52="",$D52=""),"",IF($D52&lt;='00-Parametros'!$C$17,"Fase 1 - Lançamento (0-30)",IF($D52&lt;='00-Parametros'!$C$18,"Fase 2 - Consolidação (31-60)",IF($D52&lt;='00-Parametros'!$C$19,"Fase 3 - Aceleração de Giro (61-90)","Fase 4 - Estoque Envelhecido (&gt;90)"))))</f>
        <v/>
      </c>
      <c r="F52" s="18">
        <f>IF(OR($A52="",$D52=""),"",IF($D52&lt;='00-Parametros'!$C$20,"Estoque Premium",IF($D52&lt;='00-Parametros'!$C$21,"Estoque Saudável",IF($D52&lt;='00-Parametros'!$C$22,"Estoque Atenção","Estoque Crítico"))))</f>
        <v/>
      </c>
      <c r="G52" s="15">
        <f>IF(OR($A52="",$D52=""),"",IF($D52&lt;='00-Parametros'!$C$17,IFERROR(INDEX('06-Precificacao'!$H$4:$H$123,MATCH($A52,'06-Precificacao'!$A$4:$A$123,0)),0),IF($D52&lt;='00-Parametros'!$C$18,IFERROR(INDEX('06-Precificacao'!$I$4:$I$123,MATCH($A52,'06-Precificacao'!$A$4:$A$123,0)),0),IFERROR(INDEX('06-Precificacao'!$J$4:$J$123,MATCH($A52,'06-Precificacao'!$A$4:$A$123,0)),0))))</f>
        <v/>
      </c>
      <c r="H52" s="15">
        <f>IF(OR($A52="",$C52=""),"",IF($C52&lt;&gt;"Vendida",IFERROR(INDEX('01-Cadastro-Motos'!$I$4:$I$123,MATCH($A52,'01-Cadastro-Motos'!$A$4:$A$123,0)),""),0))</f>
        <v/>
      </c>
      <c r="I52" s="18">
        <f>IF(OR($A52="",$D52=""),"",IF($D52&gt;'00-Parametros'!$C$19,"SIM - ver Pilar 10.4","Não"))</f>
        <v/>
      </c>
    </row>
    <row r="53">
      <c r="A53" s="18">
        <f>IF('01-Cadastro-Motos'!$A53="","",'01-Cadastro-Motos'!$A53)</f>
        <v/>
      </c>
      <c r="B53" s="18">
        <f>IF($A53="","",IFERROR(INDEX('01-Cadastro-Motos'!$B$4:$B$123,MATCH($A53,'01-Cadastro-Motos'!$A$4:$A$123,0)),""))</f>
        <v/>
      </c>
      <c r="C53" s="18">
        <f>IF($A53="","",IFERROR(INDEX('01-Cadastro-Motos'!$K$4:$K$123,MATCH($A53,'01-Cadastro-Motos'!$A$4:$A$123,0)),""))</f>
        <v/>
      </c>
      <c r="D53" s="22">
        <f>IF($A53="","",IFERROR(INDEX('01-Cadastro-Motos'!$P$4:$P$123,MATCH($A53,'01-Cadastro-Motos'!$A$4:$A$123,0)),""))</f>
        <v/>
      </c>
      <c r="E53" s="18">
        <f>IF(OR($A53="",$D53=""),"",IF($D53&lt;='00-Parametros'!$C$17,"Fase 1 - Lançamento (0-30)",IF($D53&lt;='00-Parametros'!$C$18,"Fase 2 - Consolidação (31-60)",IF($D53&lt;='00-Parametros'!$C$19,"Fase 3 - Aceleração de Giro (61-90)","Fase 4 - Estoque Envelhecido (&gt;90)"))))</f>
        <v/>
      </c>
      <c r="F53" s="18">
        <f>IF(OR($A53="",$D53=""),"",IF($D53&lt;='00-Parametros'!$C$20,"Estoque Premium",IF($D53&lt;='00-Parametros'!$C$21,"Estoque Saudável",IF($D53&lt;='00-Parametros'!$C$22,"Estoque Atenção","Estoque Crítico"))))</f>
        <v/>
      </c>
      <c r="G53" s="15">
        <f>IF(OR($A53="",$D53=""),"",IF($D53&lt;='00-Parametros'!$C$17,IFERROR(INDEX('06-Precificacao'!$H$4:$H$123,MATCH($A53,'06-Precificacao'!$A$4:$A$123,0)),0),IF($D53&lt;='00-Parametros'!$C$18,IFERROR(INDEX('06-Precificacao'!$I$4:$I$123,MATCH($A53,'06-Precificacao'!$A$4:$A$123,0)),0),IFERROR(INDEX('06-Precificacao'!$J$4:$J$123,MATCH($A53,'06-Precificacao'!$A$4:$A$123,0)),0))))</f>
        <v/>
      </c>
      <c r="H53" s="15">
        <f>IF(OR($A53="",$C53=""),"",IF($C53&lt;&gt;"Vendida",IFERROR(INDEX('01-Cadastro-Motos'!$I$4:$I$123,MATCH($A53,'01-Cadastro-Motos'!$A$4:$A$123,0)),""),0))</f>
        <v/>
      </c>
      <c r="I53" s="18">
        <f>IF(OR($A53="",$D53=""),"",IF($D53&gt;'00-Parametros'!$C$19,"SIM - ver Pilar 10.4","Não"))</f>
        <v/>
      </c>
    </row>
    <row r="54">
      <c r="A54" s="18">
        <f>IF('01-Cadastro-Motos'!$A54="","",'01-Cadastro-Motos'!$A54)</f>
        <v/>
      </c>
      <c r="B54" s="18">
        <f>IF($A54="","",IFERROR(INDEX('01-Cadastro-Motos'!$B$4:$B$123,MATCH($A54,'01-Cadastro-Motos'!$A$4:$A$123,0)),""))</f>
        <v/>
      </c>
      <c r="C54" s="18">
        <f>IF($A54="","",IFERROR(INDEX('01-Cadastro-Motos'!$K$4:$K$123,MATCH($A54,'01-Cadastro-Motos'!$A$4:$A$123,0)),""))</f>
        <v/>
      </c>
      <c r="D54" s="22">
        <f>IF($A54="","",IFERROR(INDEX('01-Cadastro-Motos'!$P$4:$P$123,MATCH($A54,'01-Cadastro-Motos'!$A$4:$A$123,0)),""))</f>
        <v/>
      </c>
      <c r="E54" s="18">
        <f>IF(OR($A54="",$D54=""),"",IF($D54&lt;='00-Parametros'!$C$17,"Fase 1 - Lançamento (0-30)",IF($D54&lt;='00-Parametros'!$C$18,"Fase 2 - Consolidação (31-60)",IF($D54&lt;='00-Parametros'!$C$19,"Fase 3 - Aceleração de Giro (61-90)","Fase 4 - Estoque Envelhecido (&gt;90)"))))</f>
        <v/>
      </c>
      <c r="F54" s="18">
        <f>IF(OR($A54="",$D54=""),"",IF($D54&lt;='00-Parametros'!$C$20,"Estoque Premium",IF($D54&lt;='00-Parametros'!$C$21,"Estoque Saudável",IF($D54&lt;='00-Parametros'!$C$22,"Estoque Atenção","Estoque Crítico"))))</f>
        <v/>
      </c>
      <c r="G54" s="15">
        <f>IF(OR($A54="",$D54=""),"",IF($D54&lt;='00-Parametros'!$C$17,IFERROR(INDEX('06-Precificacao'!$H$4:$H$123,MATCH($A54,'06-Precificacao'!$A$4:$A$123,0)),0),IF($D54&lt;='00-Parametros'!$C$18,IFERROR(INDEX('06-Precificacao'!$I$4:$I$123,MATCH($A54,'06-Precificacao'!$A$4:$A$123,0)),0),IFERROR(INDEX('06-Precificacao'!$J$4:$J$123,MATCH($A54,'06-Precificacao'!$A$4:$A$123,0)),0))))</f>
        <v/>
      </c>
      <c r="H54" s="15">
        <f>IF(OR($A54="",$C54=""),"",IF($C54&lt;&gt;"Vendida",IFERROR(INDEX('01-Cadastro-Motos'!$I$4:$I$123,MATCH($A54,'01-Cadastro-Motos'!$A$4:$A$123,0)),""),0))</f>
        <v/>
      </c>
      <c r="I54" s="18">
        <f>IF(OR($A54="",$D54=""),"",IF($D54&gt;'00-Parametros'!$C$19,"SIM - ver Pilar 10.4","Não"))</f>
        <v/>
      </c>
    </row>
    <row r="55">
      <c r="A55" s="18">
        <f>IF('01-Cadastro-Motos'!$A55="","",'01-Cadastro-Motos'!$A55)</f>
        <v/>
      </c>
      <c r="B55" s="18">
        <f>IF($A55="","",IFERROR(INDEX('01-Cadastro-Motos'!$B$4:$B$123,MATCH($A55,'01-Cadastro-Motos'!$A$4:$A$123,0)),""))</f>
        <v/>
      </c>
      <c r="C55" s="18">
        <f>IF($A55="","",IFERROR(INDEX('01-Cadastro-Motos'!$K$4:$K$123,MATCH($A55,'01-Cadastro-Motos'!$A$4:$A$123,0)),""))</f>
        <v/>
      </c>
      <c r="D55" s="22">
        <f>IF($A55="","",IFERROR(INDEX('01-Cadastro-Motos'!$P$4:$P$123,MATCH($A55,'01-Cadastro-Motos'!$A$4:$A$123,0)),""))</f>
        <v/>
      </c>
      <c r="E55" s="18">
        <f>IF(OR($A55="",$D55=""),"",IF($D55&lt;='00-Parametros'!$C$17,"Fase 1 - Lançamento (0-30)",IF($D55&lt;='00-Parametros'!$C$18,"Fase 2 - Consolidação (31-60)",IF($D55&lt;='00-Parametros'!$C$19,"Fase 3 - Aceleração de Giro (61-90)","Fase 4 - Estoque Envelhecido (&gt;90)"))))</f>
        <v/>
      </c>
      <c r="F55" s="18">
        <f>IF(OR($A55="",$D55=""),"",IF($D55&lt;='00-Parametros'!$C$20,"Estoque Premium",IF($D55&lt;='00-Parametros'!$C$21,"Estoque Saudável",IF($D55&lt;='00-Parametros'!$C$22,"Estoque Atenção","Estoque Crítico"))))</f>
        <v/>
      </c>
      <c r="G55" s="15">
        <f>IF(OR($A55="",$D55=""),"",IF($D55&lt;='00-Parametros'!$C$17,IFERROR(INDEX('06-Precificacao'!$H$4:$H$123,MATCH($A55,'06-Precificacao'!$A$4:$A$123,0)),0),IF($D55&lt;='00-Parametros'!$C$18,IFERROR(INDEX('06-Precificacao'!$I$4:$I$123,MATCH($A55,'06-Precificacao'!$A$4:$A$123,0)),0),IFERROR(INDEX('06-Precificacao'!$J$4:$J$123,MATCH($A55,'06-Precificacao'!$A$4:$A$123,0)),0))))</f>
        <v/>
      </c>
      <c r="H55" s="15">
        <f>IF(OR($A55="",$C55=""),"",IF($C55&lt;&gt;"Vendida",IFERROR(INDEX('01-Cadastro-Motos'!$I$4:$I$123,MATCH($A55,'01-Cadastro-Motos'!$A$4:$A$123,0)),""),0))</f>
        <v/>
      </c>
      <c r="I55" s="18">
        <f>IF(OR($A55="",$D55=""),"",IF($D55&gt;'00-Parametros'!$C$19,"SIM - ver Pilar 10.4","Não"))</f>
        <v/>
      </c>
    </row>
    <row r="56">
      <c r="A56" s="18">
        <f>IF('01-Cadastro-Motos'!$A56="","",'01-Cadastro-Motos'!$A56)</f>
        <v/>
      </c>
      <c r="B56" s="18">
        <f>IF($A56="","",IFERROR(INDEX('01-Cadastro-Motos'!$B$4:$B$123,MATCH($A56,'01-Cadastro-Motos'!$A$4:$A$123,0)),""))</f>
        <v/>
      </c>
      <c r="C56" s="18">
        <f>IF($A56="","",IFERROR(INDEX('01-Cadastro-Motos'!$K$4:$K$123,MATCH($A56,'01-Cadastro-Motos'!$A$4:$A$123,0)),""))</f>
        <v/>
      </c>
      <c r="D56" s="22">
        <f>IF($A56="","",IFERROR(INDEX('01-Cadastro-Motos'!$P$4:$P$123,MATCH($A56,'01-Cadastro-Motos'!$A$4:$A$123,0)),""))</f>
        <v/>
      </c>
      <c r="E56" s="18">
        <f>IF(OR($A56="",$D56=""),"",IF($D56&lt;='00-Parametros'!$C$17,"Fase 1 - Lançamento (0-30)",IF($D56&lt;='00-Parametros'!$C$18,"Fase 2 - Consolidação (31-60)",IF($D56&lt;='00-Parametros'!$C$19,"Fase 3 - Aceleração de Giro (61-90)","Fase 4 - Estoque Envelhecido (&gt;90)"))))</f>
        <v/>
      </c>
      <c r="F56" s="18">
        <f>IF(OR($A56="",$D56=""),"",IF($D56&lt;='00-Parametros'!$C$20,"Estoque Premium",IF($D56&lt;='00-Parametros'!$C$21,"Estoque Saudável",IF($D56&lt;='00-Parametros'!$C$22,"Estoque Atenção","Estoque Crítico"))))</f>
        <v/>
      </c>
      <c r="G56" s="15">
        <f>IF(OR($A56="",$D56=""),"",IF($D56&lt;='00-Parametros'!$C$17,IFERROR(INDEX('06-Precificacao'!$H$4:$H$123,MATCH($A56,'06-Precificacao'!$A$4:$A$123,0)),0),IF($D56&lt;='00-Parametros'!$C$18,IFERROR(INDEX('06-Precificacao'!$I$4:$I$123,MATCH($A56,'06-Precificacao'!$A$4:$A$123,0)),0),IFERROR(INDEX('06-Precificacao'!$J$4:$J$123,MATCH($A56,'06-Precificacao'!$A$4:$A$123,0)),0))))</f>
        <v/>
      </c>
      <c r="H56" s="15">
        <f>IF(OR($A56="",$C56=""),"",IF($C56&lt;&gt;"Vendida",IFERROR(INDEX('01-Cadastro-Motos'!$I$4:$I$123,MATCH($A56,'01-Cadastro-Motos'!$A$4:$A$123,0)),""),0))</f>
        <v/>
      </c>
      <c r="I56" s="18">
        <f>IF(OR($A56="",$D56=""),"",IF($D56&gt;'00-Parametros'!$C$19,"SIM - ver Pilar 10.4","Não"))</f>
        <v/>
      </c>
    </row>
    <row r="57">
      <c r="A57" s="18">
        <f>IF('01-Cadastro-Motos'!$A57="","",'01-Cadastro-Motos'!$A57)</f>
        <v/>
      </c>
      <c r="B57" s="18">
        <f>IF($A57="","",IFERROR(INDEX('01-Cadastro-Motos'!$B$4:$B$123,MATCH($A57,'01-Cadastro-Motos'!$A$4:$A$123,0)),""))</f>
        <v/>
      </c>
      <c r="C57" s="18">
        <f>IF($A57="","",IFERROR(INDEX('01-Cadastro-Motos'!$K$4:$K$123,MATCH($A57,'01-Cadastro-Motos'!$A$4:$A$123,0)),""))</f>
        <v/>
      </c>
      <c r="D57" s="22">
        <f>IF($A57="","",IFERROR(INDEX('01-Cadastro-Motos'!$P$4:$P$123,MATCH($A57,'01-Cadastro-Motos'!$A$4:$A$123,0)),""))</f>
        <v/>
      </c>
      <c r="E57" s="18">
        <f>IF(OR($A57="",$D57=""),"",IF($D57&lt;='00-Parametros'!$C$17,"Fase 1 - Lançamento (0-30)",IF($D57&lt;='00-Parametros'!$C$18,"Fase 2 - Consolidação (31-60)",IF($D57&lt;='00-Parametros'!$C$19,"Fase 3 - Aceleração de Giro (61-90)","Fase 4 - Estoque Envelhecido (&gt;90)"))))</f>
        <v/>
      </c>
      <c r="F57" s="18">
        <f>IF(OR($A57="",$D57=""),"",IF($D57&lt;='00-Parametros'!$C$20,"Estoque Premium",IF($D57&lt;='00-Parametros'!$C$21,"Estoque Saudável",IF($D57&lt;='00-Parametros'!$C$22,"Estoque Atenção","Estoque Crítico"))))</f>
        <v/>
      </c>
      <c r="G57" s="15">
        <f>IF(OR($A57="",$D57=""),"",IF($D57&lt;='00-Parametros'!$C$17,IFERROR(INDEX('06-Precificacao'!$H$4:$H$123,MATCH($A57,'06-Precificacao'!$A$4:$A$123,0)),0),IF($D57&lt;='00-Parametros'!$C$18,IFERROR(INDEX('06-Precificacao'!$I$4:$I$123,MATCH($A57,'06-Precificacao'!$A$4:$A$123,0)),0),IFERROR(INDEX('06-Precificacao'!$J$4:$J$123,MATCH($A57,'06-Precificacao'!$A$4:$A$123,0)),0))))</f>
        <v/>
      </c>
      <c r="H57" s="15">
        <f>IF(OR($A57="",$C57=""),"",IF($C57&lt;&gt;"Vendida",IFERROR(INDEX('01-Cadastro-Motos'!$I$4:$I$123,MATCH($A57,'01-Cadastro-Motos'!$A$4:$A$123,0)),""),0))</f>
        <v/>
      </c>
      <c r="I57" s="18">
        <f>IF(OR($A57="",$D57=""),"",IF($D57&gt;'00-Parametros'!$C$19,"SIM - ver Pilar 10.4","Não"))</f>
        <v/>
      </c>
    </row>
    <row r="58">
      <c r="A58" s="18">
        <f>IF('01-Cadastro-Motos'!$A58="","",'01-Cadastro-Motos'!$A58)</f>
        <v/>
      </c>
      <c r="B58" s="18">
        <f>IF($A58="","",IFERROR(INDEX('01-Cadastro-Motos'!$B$4:$B$123,MATCH($A58,'01-Cadastro-Motos'!$A$4:$A$123,0)),""))</f>
        <v/>
      </c>
      <c r="C58" s="18">
        <f>IF($A58="","",IFERROR(INDEX('01-Cadastro-Motos'!$K$4:$K$123,MATCH($A58,'01-Cadastro-Motos'!$A$4:$A$123,0)),""))</f>
        <v/>
      </c>
      <c r="D58" s="22">
        <f>IF($A58="","",IFERROR(INDEX('01-Cadastro-Motos'!$P$4:$P$123,MATCH($A58,'01-Cadastro-Motos'!$A$4:$A$123,0)),""))</f>
        <v/>
      </c>
      <c r="E58" s="18">
        <f>IF(OR($A58="",$D58=""),"",IF($D58&lt;='00-Parametros'!$C$17,"Fase 1 - Lançamento (0-30)",IF($D58&lt;='00-Parametros'!$C$18,"Fase 2 - Consolidação (31-60)",IF($D58&lt;='00-Parametros'!$C$19,"Fase 3 - Aceleração de Giro (61-90)","Fase 4 - Estoque Envelhecido (&gt;90)"))))</f>
        <v/>
      </c>
      <c r="F58" s="18">
        <f>IF(OR($A58="",$D58=""),"",IF($D58&lt;='00-Parametros'!$C$20,"Estoque Premium",IF($D58&lt;='00-Parametros'!$C$21,"Estoque Saudável",IF($D58&lt;='00-Parametros'!$C$22,"Estoque Atenção","Estoque Crítico"))))</f>
        <v/>
      </c>
      <c r="G58" s="15">
        <f>IF(OR($A58="",$D58=""),"",IF($D58&lt;='00-Parametros'!$C$17,IFERROR(INDEX('06-Precificacao'!$H$4:$H$123,MATCH($A58,'06-Precificacao'!$A$4:$A$123,0)),0),IF($D58&lt;='00-Parametros'!$C$18,IFERROR(INDEX('06-Precificacao'!$I$4:$I$123,MATCH($A58,'06-Precificacao'!$A$4:$A$123,0)),0),IFERROR(INDEX('06-Precificacao'!$J$4:$J$123,MATCH($A58,'06-Precificacao'!$A$4:$A$123,0)),0))))</f>
        <v/>
      </c>
      <c r="H58" s="15">
        <f>IF(OR($A58="",$C58=""),"",IF($C58&lt;&gt;"Vendida",IFERROR(INDEX('01-Cadastro-Motos'!$I$4:$I$123,MATCH($A58,'01-Cadastro-Motos'!$A$4:$A$123,0)),""),0))</f>
        <v/>
      </c>
      <c r="I58" s="18">
        <f>IF(OR($A58="",$D58=""),"",IF($D58&gt;'00-Parametros'!$C$19,"SIM - ver Pilar 10.4","Não"))</f>
        <v/>
      </c>
    </row>
    <row r="59">
      <c r="A59" s="18">
        <f>IF('01-Cadastro-Motos'!$A59="","",'01-Cadastro-Motos'!$A59)</f>
        <v/>
      </c>
      <c r="B59" s="18">
        <f>IF($A59="","",IFERROR(INDEX('01-Cadastro-Motos'!$B$4:$B$123,MATCH($A59,'01-Cadastro-Motos'!$A$4:$A$123,0)),""))</f>
        <v/>
      </c>
      <c r="C59" s="18">
        <f>IF($A59="","",IFERROR(INDEX('01-Cadastro-Motos'!$K$4:$K$123,MATCH($A59,'01-Cadastro-Motos'!$A$4:$A$123,0)),""))</f>
        <v/>
      </c>
      <c r="D59" s="22">
        <f>IF($A59="","",IFERROR(INDEX('01-Cadastro-Motos'!$P$4:$P$123,MATCH($A59,'01-Cadastro-Motos'!$A$4:$A$123,0)),""))</f>
        <v/>
      </c>
      <c r="E59" s="18">
        <f>IF(OR($A59="",$D59=""),"",IF($D59&lt;='00-Parametros'!$C$17,"Fase 1 - Lançamento (0-30)",IF($D59&lt;='00-Parametros'!$C$18,"Fase 2 - Consolidação (31-60)",IF($D59&lt;='00-Parametros'!$C$19,"Fase 3 - Aceleração de Giro (61-90)","Fase 4 - Estoque Envelhecido (&gt;90)"))))</f>
        <v/>
      </c>
      <c r="F59" s="18">
        <f>IF(OR($A59="",$D59=""),"",IF($D59&lt;='00-Parametros'!$C$20,"Estoque Premium",IF($D59&lt;='00-Parametros'!$C$21,"Estoque Saudável",IF($D59&lt;='00-Parametros'!$C$22,"Estoque Atenção","Estoque Crítico"))))</f>
        <v/>
      </c>
      <c r="G59" s="15">
        <f>IF(OR($A59="",$D59=""),"",IF($D59&lt;='00-Parametros'!$C$17,IFERROR(INDEX('06-Precificacao'!$H$4:$H$123,MATCH($A59,'06-Precificacao'!$A$4:$A$123,0)),0),IF($D59&lt;='00-Parametros'!$C$18,IFERROR(INDEX('06-Precificacao'!$I$4:$I$123,MATCH($A59,'06-Precificacao'!$A$4:$A$123,0)),0),IFERROR(INDEX('06-Precificacao'!$J$4:$J$123,MATCH($A59,'06-Precificacao'!$A$4:$A$123,0)),0))))</f>
        <v/>
      </c>
      <c r="H59" s="15">
        <f>IF(OR($A59="",$C59=""),"",IF($C59&lt;&gt;"Vendida",IFERROR(INDEX('01-Cadastro-Motos'!$I$4:$I$123,MATCH($A59,'01-Cadastro-Motos'!$A$4:$A$123,0)),""),0))</f>
        <v/>
      </c>
      <c r="I59" s="18">
        <f>IF(OR($A59="",$D59=""),"",IF($D59&gt;'00-Parametros'!$C$19,"SIM - ver Pilar 10.4","Não"))</f>
        <v/>
      </c>
    </row>
    <row r="60">
      <c r="A60" s="18">
        <f>IF('01-Cadastro-Motos'!$A60="","",'01-Cadastro-Motos'!$A60)</f>
        <v/>
      </c>
      <c r="B60" s="18">
        <f>IF($A60="","",IFERROR(INDEX('01-Cadastro-Motos'!$B$4:$B$123,MATCH($A60,'01-Cadastro-Motos'!$A$4:$A$123,0)),""))</f>
        <v/>
      </c>
      <c r="C60" s="18">
        <f>IF($A60="","",IFERROR(INDEX('01-Cadastro-Motos'!$K$4:$K$123,MATCH($A60,'01-Cadastro-Motos'!$A$4:$A$123,0)),""))</f>
        <v/>
      </c>
      <c r="D60" s="22">
        <f>IF($A60="","",IFERROR(INDEX('01-Cadastro-Motos'!$P$4:$P$123,MATCH($A60,'01-Cadastro-Motos'!$A$4:$A$123,0)),""))</f>
        <v/>
      </c>
      <c r="E60" s="18">
        <f>IF(OR($A60="",$D60=""),"",IF($D60&lt;='00-Parametros'!$C$17,"Fase 1 - Lançamento (0-30)",IF($D60&lt;='00-Parametros'!$C$18,"Fase 2 - Consolidação (31-60)",IF($D60&lt;='00-Parametros'!$C$19,"Fase 3 - Aceleração de Giro (61-90)","Fase 4 - Estoque Envelhecido (&gt;90)"))))</f>
        <v/>
      </c>
      <c r="F60" s="18">
        <f>IF(OR($A60="",$D60=""),"",IF($D60&lt;='00-Parametros'!$C$20,"Estoque Premium",IF($D60&lt;='00-Parametros'!$C$21,"Estoque Saudável",IF($D60&lt;='00-Parametros'!$C$22,"Estoque Atenção","Estoque Crítico"))))</f>
        <v/>
      </c>
      <c r="G60" s="15">
        <f>IF(OR($A60="",$D60=""),"",IF($D60&lt;='00-Parametros'!$C$17,IFERROR(INDEX('06-Precificacao'!$H$4:$H$123,MATCH($A60,'06-Precificacao'!$A$4:$A$123,0)),0),IF($D60&lt;='00-Parametros'!$C$18,IFERROR(INDEX('06-Precificacao'!$I$4:$I$123,MATCH($A60,'06-Precificacao'!$A$4:$A$123,0)),0),IFERROR(INDEX('06-Precificacao'!$J$4:$J$123,MATCH($A60,'06-Precificacao'!$A$4:$A$123,0)),0))))</f>
        <v/>
      </c>
      <c r="H60" s="15">
        <f>IF(OR($A60="",$C60=""),"",IF($C60&lt;&gt;"Vendida",IFERROR(INDEX('01-Cadastro-Motos'!$I$4:$I$123,MATCH($A60,'01-Cadastro-Motos'!$A$4:$A$123,0)),""),0))</f>
        <v/>
      </c>
      <c r="I60" s="18">
        <f>IF(OR($A60="",$D60=""),"",IF($D60&gt;'00-Parametros'!$C$19,"SIM - ver Pilar 10.4","Não"))</f>
        <v/>
      </c>
    </row>
    <row r="61">
      <c r="A61" s="18">
        <f>IF('01-Cadastro-Motos'!$A61="","",'01-Cadastro-Motos'!$A61)</f>
        <v/>
      </c>
      <c r="B61" s="18">
        <f>IF($A61="","",IFERROR(INDEX('01-Cadastro-Motos'!$B$4:$B$123,MATCH($A61,'01-Cadastro-Motos'!$A$4:$A$123,0)),""))</f>
        <v/>
      </c>
      <c r="C61" s="18">
        <f>IF($A61="","",IFERROR(INDEX('01-Cadastro-Motos'!$K$4:$K$123,MATCH($A61,'01-Cadastro-Motos'!$A$4:$A$123,0)),""))</f>
        <v/>
      </c>
      <c r="D61" s="22">
        <f>IF($A61="","",IFERROR(INDEX('01-Cadastro-Motos'!$P$4:$P$123,MATCH($A61,'01-Cadastro-Motos'!$A$4:$A$123,0)),""))</f>
        <v/>
      </c>
      <c r="E61" s="18">
        <f>IF(OR($A61="",$D61=""),"",IF($D61&lt;='00-Parametros'!$C$17,"Fase 1 - Lançamento (0-30)",IF($D61&lt;='00-Parametros'!$C$18,"Fase 2 - Consolidação (31-60)",IF($D61&lt;='00-Parametros'!$C$19,"Fase 3 - Aceleração de Giro (61-90)","Fase 4 - Estoque Envelhecido (&gt;90)"))))</f>
        <v/>
      </c>
      <c r="F61" s="18">
        <f>IF(OR($A61="",$D61=""),"",IF($D61&lt;='00-Parametros'!$C$20,"Estoque Premium",IF($D61&lt;='00-Parametros'!$C$21,"Estoque Saudável",IF($D61&lt;='00-Parametros'!$C$22,"Estoque Atenção","Estoque Crítico"))))</f>
        <v/>
      </c>
      <c r="G61" s="15">
        <f>IF(OR($A61="",$D61=""),"",IF($D61&lt;='00-Parametros'!$C$17,IFERROR(INDEX('06-Precificacao'!$H$4:$H$123,MATCH($A61,'06-Precificacao'!$A$4:$A$123,0)),0),IF($D61&lt;='00-Parametros'!$C$18,IFERROR(INDEX('06-Precificacao'!$I$4:$I$123,MATCH($A61,'06-Precificacao'!$A$4:$A$123,0)),0),IFERROR(INDEX('06-Precificacao'!$J$4:$J$123,MATCH($A61,'06-Precificacao'!$A$4:$A$123,0)),0))))</f>
        <v/>
      </c>
      <c r="H61" s="15">
        <f>IF(OR($A61="",$C61=""),"",IF($C61&lt;&gt;"Vendida",IFERROR(INDEX('01-Cadastro-Motos'!$I$4:$I$123,MATCH($A61,'01-Cadastro-Motos'!$A$4:$A$123,0)),""),0))</f>
        <v/>
      </c>
      <c r="I61" s="18">
        <f>IF(OR($A61="",$D61=""),"",IF($D61&gt;'00-Parametros'!$C$19,"SIM - ver Pilar 10.4","Não"))</f>
        <v/>
      </c>
    </row>
    <row r="62">
      <c r="A62" s="18">
        <f>IF('01-Cadastro-Motos'!$A62="","",'01-Cadastro-Motos'!$A62)</f>
        <v/>
      </c>
      <c r="B62" s="18">
        <f>IF($A62="","",IFERROR(INDEX('01-Cadastro-Motos'!$B$4:$B$123,MATCH($A62,'01-Cadastro-Motos'!$A$4:$A$123,0)),""))</f>
        <v/>
      </c>
      <c r="C62" s="18">
        <f>IF($A62="","",IFERROR(INDEX('01-Cadastro-Motos'!$K$4:$K$123,MATCH($A62,'01-Cadastro-Motos'!$A$4:$A$123,0)),""))</f>
        <v/>
      </c>
      <c r="D62" s="22">
        <f>IF($A62="","",IFERROR(INDEX('01-Cadastro-Motos'!$P$4:$P$123,MATCH($A62,'01-Cadastro-Motos'!$A$4:$A$123,0)),""))</f>
        <v/>
      </c>
      <c r="E62" s="18">
        <f>IF(OR($A62="",$D62=""),"",IF($D62&lt;='00-Parametros'!$C$17,"Fase 1 - Lançamento (0-30)",IF($D62&lt;='00-Parametros'!$C$18,"Fase 2 - Consolidação (31-60)",IF($D62&lt;='00-Parametros'!$C$19,"Fase 3 - Aceleração de Giro (61-90)","Fase 4 - Estoque Envelhecido (&gt;90)"))))</f>
        <v/>
      </c>
      <c r="F62" s="18">
        <f>IF(OR($A62="",$D62=""),"",IF($D62&lt;='00-Parametros'!$C$20,"Estoque Premium",IF($D62&lt;='00-Parametros'!$C$21,"Estoque Saudável",IF($D62&lt;='00-Parametros'!$C$22,"Estoque Atenção","Estoque Crítico"))))</f>
        <v/>
      </c>
      <c r="G62" s="15">
        <f>IF(OR($A62="",$D62=""),"",IF($D62&lt;='00-Parametros'!$C$17,IFERROR(INDEX('06-Precificacao'!$H$4:$H$123,MATCH($A62,'06-Precificacao'!$A$4:$A$123,0)),0),IF($D62&lt;='00-Parametros'!$C$18,IFERROR(INDEX('06-Precificacao'!$I$4:$I$123,MATCH($A62,'06-Precificacao'!$A$4:$A$123,0)),0),IFERROR(INDEX('06-Precificacao'!$J$4:$J$123,MATCH($A62,'06-Precificacao'!$A$4:$A$123,0)),0))))</f>
        <v/>
      </c>
      <c r="H62" s="15">
        <f>IF(OR($A62="",$C62=""),"",IF($C62&lt;&gt;"Vendida",IFERROR(INDEX('01-Cadastro-Motos'!$I$4:$I$123,MATCH($A62,'01-Cadastro-Motos'!$A$4:$A$123,0)),""),0))</f>
        <v/>
      </c>
      <c r="I62" s="18">
        <f>IF(OR($A62="",$D62=""),"",IF($D62&gt;'00-Parametros'!$C$19,"SIM - ver Pilar 10.4","Não"))</f>
        <v/>
      </c>
    </row>
    <row r="63">
      <c r="A63" s="18">
        <f>IF('01-Cadastro-Motos'!$A63="","",'01-Cadastro-Motos'!$A63)</f>
        <v/>
      </c>
      <c r="B63" s="18">
        <f>IF($A63="","",IFERROR(INDEX('01-Cadastro-Motos'!$B$4:$B$123,MATCH($A63,'01-Cadastro-Motos'!$A$4:$A$123,0)),""))</f>
        <v/>
      </c>
      <c r="C63" s="18">
        <f>IF($A63="","",IFERROR(INDEX('01-Cadastro-Motos'!$K$4:$K$123,MATCH($A63,'01-Cadastro-Motos'!$A$4:$A$123,0)),""))</f>
        <v/>
      </c>
      <c r="D63" s="22">
        <f>IF($A63="","",IFERROR(INDEX('01-Cadastro-Motos'!$P$4:$P$123,MATCH($A63,'01-Cadastro-Motos'!$A$4:$A$123,0)),""))</f>
        <v/>
      </c>
      <c r="E63" s="18">
        <f>IF(OR($A63="",$D63=""),"",IF($D63&lt;='00-Parametros'!$C$17,"Fase 1 - Lançamento (0-30)",IF($D63&lt;='00-Parametros'!$C$18,"Fase 2 - Consolidação (31-60)",IF($D63&lt;='00-Parametros'!$C$19,"Fase 3 - Aceleração de Giro (61-90)","Fase 4 - Estoque Envelhecido (&gt;90)"))))</f>
        <v/>
      </c>
      <c r="F63" s="18">
        <f>IF(OR($A63="",$D63=""),"",IF($D63&lt;='00-Parametros'!$C$20,"Estoque Premium",IF($D63&lt;='00-Parametros'!$C$21,"Estoque Saudável",IF($D63&lt;='00-Parametros'!$C$22,"Estoque Atenção","Estoque Crítico"))))</f>
        <v/>
      </c>
      <c r="G63" s="15">
        <f>IF(OR($A63="",$D63=""),"",IF($D63&lt;='00-Parametros'!$C$17,IFERROR(INDEX('06-Precificacao'!$H$4:$H$123,MATCH($A63,'06-Precificacao'!$A$4:$A$123,0)),0),IF($D63&lt;='00-Parametros'!$C$18,IFERROR(INDEX('06-Precificacao'!$I$4:$I$123,MATCH($A63,'06-Precificacao'!$A$4:$A$123,0)),0),IFERROR(INDEX('06-Precificacao'!$J$4:$J$123,MATCH($A63,'06-Precificacao'!$A$4:$A$123,0)),0))))</f>
        <v/>
      </c>
      <c r="H63" s="15">
        <f>IF(OR($A63="",$C63=""),"",IF($C63&lt;&gt;"Vendida",IFERROR(INDEX('01-Cadastro-Motos'!$I$4:$I$123,MATCH($A63,'01-Cadastro-Motos'!$A$4:$A$123,0)),""),0))</f>
        <v/>
      </c>
      <c r="I63" s="18">
        <f>IF(OR($A63="",$D63=""),"",IF($D63&gt;'00-Parametros'!$C$19,"SIM - ver Pilar 10.4","Não"))</f>
        <v/>
      </c>
    </row>
    <row r="64">
      <c r="A64" s="18">
        <f>IF('01-Cadastro-Motos'!$A64="","",'01-Cadastro-Motos'!$A64)</f>
        <v/>
      </c>
      <c r="B64" s="18">
        <f>IF($A64="","",IFERROR(INDEX('01-Cadastro-Motos'!$B$4:$B$123,MATCH($A64,'01-Cadastro-Motos'!$A$4:$A$123,0)),""))</f>
        <v/>
      </c>
      <c r="C64" s="18">
        <f>IF($A64="","",IFERROR(INDEX('01-Cadastro-Motos'!$K$4:$K$123,MATCH($A64,'01-Cadastro-Motos'!$A$4:$A$123,0)),""))</f>
        <v/>
      </c>
      <c r="D64" s="22">
        <f>IF($A64="","",IFERROR(INDEX('01-Cadastro-Motos'!$P$4:$P$123,MATCH($A64,'01-Cadastro-Motos'!$A$4:$A$123,0)),""))</f>
        <v/>
      </c>
      <c r="E64" s="18">
        <f>IF(OR($A64="",$D64=""),"",IF($D64&lt;='00-Parametros'!$C$17,"Fase 1 - Lançamento (0-30)",IF($D64&lt;='00-Parametros'!$C$18,"Fase 2 - Consolidação (31-60)",IF($D64&lt;='00-Parametros'!$C$19,"Fase 3 - Aceleração de Giro (61-90)","Fase 4 - Estoque Envelhecido (&gt;90)"))))</f>
        <v/>
      </c>
      <c r="F64" s="18">
        <f>IF(OR($A64="",$D64=""),"",IF($D64&lt;='00-Parametros'!$C$20,"Estoque Premium",IF($D64&lt;='00-Parametros'!$C$21,"Estoque Saudável",IF($D64&lt;='00-Parametros'!$C$22,"Estoque Atenção","Estoque Crítico"))))</f>
        <v/>
      </c>
      <c r="G64" s="15">
        <f>IF(OR($A64="",$D64=""),"",IF($D64&lt;='00-Parametros'!$C$17,IFERROR(INDEX('06-Precificacao'!$H$4:$H$123,MATCH($A64,'06-Precificacao'!$A$4:$A$123,0)),0),IF($D64&lt;='00-Parametros'!$C$18,IFERROR(INDEX('06-Precificacao'!$I$4:$I$123,MATCH($A64,'06-Precificacao'!$A$4:$A$123,0)),0),IFERROR(INDEX('06-Precificacao'!$J$4:$J$123,MATCH($A64,'06-Precificacao'!$A$4:$A$123,0)),0))))</f>
        <v/>
      </c>
      <c r="H64" s="15">
        <f>IF(OR($A64="",$C64=""),"",IF($C64&lt;&gt;"Vendida",IFERROR(INDEX('01-Cadastro-Motos'!$I$4:$I$123,MATCH($A64,'01-Cadastro-Motos'!$A$4:$A$123,0)),""),0))</f>
        <v/>
      </c>
      <c r="I64" s="18">
        <f>IF(OR($A64="",$D64=""),"",IF($D64&gt;'00-Parametros'!$C$19,"SIM - ver Pilar 10.4","Não"))</f>
        <v/>
      </c>
    </row>
    <row r="65">
      <c r="A65" s="18">
        <f>IF('01-Cadastro-Motos'!$A65="","",'01-Cadastro-Motos'!$A65)</f>
        <v/>
      </c>
      <c r="B65" s="18">
        <f>IF($A65="","",IFERROR(INDEX('01-Cadastro-Motos'!$B$4:$B$123,MATCH($A65,'01-Cadastro-Motos'!$A$4:$A$123,0)),""))</f>
        <v/>
      </c>
      <c r="C65" s="18">
        <f>IF($A65="","",IFERROR(INDEX('01-Cadastro-Motos'!$K$4:$K$123,MATCH($A65,'01-Cadastro-Motos'!$A$4:$A$123,0)),""))</f>
        <v/>
      </c>
      <c r="D65" s="22">
        <f>IF($A65="","",IFERROR(INDEX('01-Cadastro-Motos'!$P$4:$P$123,MATCH($A65,'01-Cadastro-Motos'!$A$4:$A$123,0)),""))</f>
        <v/>
      </c>
      <c r="E65" s="18">
        <f>IF(OR($A65="",$D65=""),"",IF($D65&lt;='00-Parametros'!$C$17,"Fase 1 - Lançamento (0-30)",IF($D65&lt;='00-Parametros'!$C$18,"Fase 2 - Consolidação (31-60)",IF($D65&lt;='00-Parametros'!$C$19,"Fase 3 - Aceleração de Giro (61-90)","Fase 4 - Estoque Envelhecido (&gt;90)"))))</f>
        <v/>
      </c>
      <c r="F65" s="18">
        <f>IF(OR($A65="",$D65=""),"",IF($D65&lt;='00-Parametros'!$C$20,"Estoque Premium",IF($D65&lt;='00-Parametros'!$C$21,"Estoque Saudável",IF($D65&lt;='00-Parametros'!$C$22,"Estoque Atenção","Estoque Crítico"))))</f>
        <v/>
      </c>
      <c r="G65" s="15">
        <f>IF(OR($A65="",$D65=""),"",IF($D65&lt;='00-Parametros'!$C$17,IFERROR(INDEX('06-Precificacao'!$H$4:$H$123,MATCH($A65,'06-Precificacao'!$A$4:$A$123,0)),0),IF($D65&lt;='00-Parametros'!$C$18,IFERROR(INDEX('06-Precificacao'!$I$4:$I$123,MATCH($A65,'06-Precificacao'!$A$4:$A$123,0)),0),IFERROR(INDEX('06-Precificacao'!$J$4:$J$123,MATCH($A65,'06-Precificacao'!$A$4:$A$123,0)),0))))</f>
        <v/>
      </c>
      <c r="H65" s="15">
        <f>IF(OR($A65="",$C65=""),"",IF($C65&lt;&gt;"Vendida",IFERROR(INDEX('01-Cadastro-Motos'!$I$4:$I$123,MATCH($A65,'01-Cadastro-Motos'!$A$4:$A$123,0)),""),0))</f>
        <v/>
      </c>
      <c r="I65" s="18">
        <f>IF(OR($A65="",$D65=""),"",IF($D65&gt;'00-Parametros'!$C$19,"SIM - ver Pilar 10.4","Não"))</f>
        <v/>
      </c>
    </row>
    <row r="66">
      <c r="A66" s="18">
        <f>IF('01-Cadastro-Motos'!$A66="","",'01-Cadastro-Motos'!$A66)</f>
        <v/>
      </c>
      <c r="B66" s="18">
        <f>IF($A66="","",IFERROR(INDEX('01-Cadastro-Motos'!$B$4:$B$123,MATCH($A66,'01-Cadastro-Motos'!$A$4:$A$123,0)),""))</f>
        <v/>
      </c>
      <c r="C66" s="18">
        <f>IF($A66="","",IFERROR(INDEX('01-Cadastro-Motos'!$K$4:$K$123,MATCH($A66,'01-Cadastro-Motos'!$A$4:$A$123,0)),""))</f>
        <v/>
      </c>
      <c r="D66" s="22">
        <f>IF($A66="","",IFERROR(INDEX('01-Cadastro-Motos'!$P$4:$P$123,MATCH($A66,'01-Cadastro-Motos'!$A$4:$A$123,0)),""))</f>
        <v/>
      </c>
      <c r="E66" s="18">
        <f>IF(OR($A66="",$D66=""),"",IF($D66&lt;='00-Parametros'!$C$17,"Fase 1 - Lançamento (0-30)",IF($D66&lt;='00-Parametros'!$C$18,"Fase 2 - Consolidação (31-60)",IF($D66&lt;='00-Parametros'!$C$19,"Fase 3 - Aceleração de Giro (61-90)","Fase 4 - Estoque Envelhecido (&gt;90)"))))</f>
        <v/>
      </c>
      <c r="F66" s="18">
        <f>IF(OR($A66="",$D66=""),"",IF($D66&lt;='00-Parametros'!$C$20,"Estoque Premium",IF($D66&lt;='00-Parametros'!$C$21,"Estoque Saudável",IF($D66&lt;='00-Parametros'!$C$22,"Estoque Atenção","Estoque Crítico"))))</f>
        <v/>
      </c>
      <c r="G66" s="15">
        <f>IF(OR($A66="",$D66=""),"",IF($D66&lt;='00-Parametros'!$C$17,IFERROR(INDEX('06-Precificacao'!$H$4:$H$123,MATCH($A66,'06-Precificacao'!$A$4:$A$123,0)),0),IF($D66&lt;='00-Parametros'!$C$18,IFERROR(INDEX('06-Precificacao'!$I$4:$I$123,MATCH($A66,'06-Precificacao'!$A$4:$A$123,0)),0),IFERROR(INDEX('06-Precificacao'!$J$4:$J$123,MATCH($A66,'06-Precificacao'!$A$4:$A$123,0)),0))))</f>
        <v/>
      </c>
      <c r="H66" s="15">
        <f>IF(OR($A66="",$C66=""),"",IF($C66&lt;&gt;"Vendida",IFERROR(INDEX('01-Cadastro-Motos'!$I$4:$I$123,MATCH($A66,'01-Cadastro-Motos'!$A$4:$A$123,0)),""),0))</f>
        <v/>
      </c>
      <c r="I66" s="18">
        <f>IF(OR($A66="",$D66=""),"",IF($D66&gt;'00-Parametros'!$C$19,"SIM - ver Pilar 10.4","Não"))</f>
        <v/>
      </c>
    </row>
    <row r="67">
      <c r="A67" s="18">
        <f>IF('01-Cadastro-Motos'!$A67="","",'01-Cadastro-Motos'!$A67)</f>
        <v/>
      </c>
      <c r="B67" s="18">
        <f>IF($A67="","",IFERROR(INDEX('01-Cadastro-Motos'!$B$4:$B$123,MATCH($A67,'01-Cadastro-Motos'!$A$4:$A$123,0)),""))</f>
        <v/>
      </c>
      <c r="C67" s="18">
        <f>IF($A67="","",IFERROR(INDEX('01-Cadastro-Motos'!$K$4:$K$123,MATCH($A67,'01-Cadastro-Motos'!$A$4:$A$123,0)),""))</f>
        <v/>
      </c>
      <c r="D67" s="22">
        <f>IF($A67="","",IFERROR(INDEX('01-Cadastro-Motos'!$P$4:$P$123,MATCH($A67,'01-Cadastro-Motos'!$A$4:$A$123,0)),""))</f>
        <v/>
      </c>
      <c r="E67" s="18">
        <f>IF(OR($A67="",$D67=""),"",IF($D67&lt;='00-Parametros'!$C$17,"Fase 1 - Lançamento (0-30)",IF($D67&lt;='00-Parametros'!$C$18,"Fase 2 - Consolidação (31-60)",IF($D67&lt;='00-Parametros'!$C$19,"Fase 3 - Aceleração de Giro (61-90)","Fase 4 - Estoque Envelhecido (&gt;90)"))))</f>
        <v/>
      </c>
      <c r="F67" s="18">
        <f>IF(OR($A67="",$D67=""),"",IF($D67&lt;='00-Parametros'!$C$20,"Estoque Premium",IF($D67&lt;='00-Parametros'!$C$21,"Estoque Saudável",IF($D67&lt;='00-Parametros'!$C$22,"Estoque Atenção","Estoque Crítico"))))</f>
        <v/>
      </c>
      <c r="G67" s="15">
        <f>IF(OR($A67="",$D67=""),"",IF($D67&lt;='00-Parametros'!$C$17,IFERROR(INDEX('06-Precificacao'!$H$4:$H$123,MATCH($A67,'06-Precificacao'!$A$4:$A$123,0)),0),IF($D67&lt;='00-Parametros'!$C$18,IFERROR(INDEX('06-Precificacao'!$I$4:$I$123,MATCH($A67,'06-Precificacao'!$A$4:$A$123,0)),0),IFERROR(INDEX('06-Precificacao'!$J$4:$J$123,MATCH($A67,'06-Precificacao'!$A$4:$A$123,0)),0))))</f>
        <v/>
      </c>
      <c r="H67" s="15">
        <f>IF(OR($A67="",$C67=""),"",IF($C67&lt;&gt;"Vendida",IFERROR(INDEX('01-Cadastro-Motos'!$I$4:$I$123,MATCH($A67,'01-Cadastro-Motos'!$A$4:$A$123,0)),""),0))</f>
        <v/>
      </c>
      <c r="I67" s="18">
        <f>IF(OR($A67="",$D67=""),"",IF($D67&gt;'00-Parametros'!$C$19,"SIM - ver Pilar 10.4","Não"))</f>
        <v/>
      </c>
    </row>
    <row r="68">
      <c r="A68" s="18">
        <f>IF('01-Cadastro-Motos'!$A68="","",'01-Cadastro-Motos'!$A68)</f>
        <v/>
      </c>
      <c r="B68" s="18">
        <f>IF($A68="","",IFERROR(INDEX('01-Cadastro-Motos'!$B$4:$B$123,MATCH($A68,'01-Cadastro-Motos'!$A$4:$A$123,0)),""))</f>
        <v/>
      </c>
      <c r="C68" s="18">
        <f>IF($A68="","",IFERROR(INDEX('01-Cadastro-Motos'!$K$4:$K$123,MATCH($A68,'01-Cadastro-Motos'!$A$4:$A$123,0)),""))</f>
        <v/>
      </c>
      <c r="D68" s="22">
        <f>IF($A68="","",IFERROR(INDEX('01-Cadastro-Motos'!$P$4:$P$123,MATCH($A68,'01-Cadastro-Motos'!$A$4:$A$123,0)),""))</f>
        <v/>
      </c>
      <c r="E68" s="18">
        <f>IF(OR($A68="",$D68=""),"",IF($D68&lt;='00-Parametros'!$C$17,"Fase 1 - Lançamento (0-30)",IF($D68&lt;='00-Parametros'!$C$18,"Fase 2 - Consolidação (31-60)",IF($D68&lt;='00-Parametros'!$C$19,"Fase 3 - Aceleração de Giro (61-90)","Fase 4 - Estoque Envelhecido (&gt;90)"))))</f>
        <v/>
      </c>
      <c r="F68" s="18">
        <f>IF(OR($A68="",$D68=""),"",IF($D68&lt;='00-Parametros'!$C$20,"Estoque Premium",IF($D68&lt;='00-Parametros'!$C$21,"Estoque Saudável",IF($D68&lt;='00-Parametros'!$C$22,"Estoque Atenção","Estoque Crítico"))))</f>
        <v/>
      </c>
      <c r="G68" s="15">
        <f>IF(OR($A68="",$D68=""),"",IF($D68&lt;='00-Parametros'!$C$17,IFERROR(INDEX('06-Precificacao'!$H$4:$H$123,MATCH($A68,'06-Precificacao'!$A$4:$A$123,0)),0),IF($D68&lt;='00-Parametros'!$C$18,IFERROR(INDEX('06-Precificacao'!$I$4:$I$123,MATCH($A68,'06-Precificacao'!$A$4:$A$123,0)),0),IFERROR(INDEX('06-Precificacao'!$J$4:$J$123,MATCH($A68,'06-Precificacao'!$A$4:$A$123,0)),0))))</f>
        <v/>
      </c>
      <c r="H68" s="15">
        <f>IF(OR($A68="",$C68=""),"",IF($C68&lt;&gt;"Vendida",IFERROR(INDEX('01-Cadastro-Motos'!$I$4:$I$123,MATCH($A68,'01-Cadastro-Motos'!$A$4:$A$123,0)),""),0))</f>
        <v/>
      </c>
      <c r="I68" s="18">
        <f>IF(OR($A68="",$D68=""),"",IF($D68&gt;'00-Parametros'!$C$19,"SIM - ver Pilar 10.4","Não"))</f>
        <v/>
      </c>
    </row>
    <row r="69">
      <c r="A69" s="18">
        <f>IF('01-Cadastro-Motos'!$A69="","",'01-Cadastro-Motos'!$A69)</f>
        <v/>
      </c>
      <c r="B69" s="18">
        <f>IF($A69="","",IFERROR(INDEX('01-Cadastro-Motos'!$B$4:$B$123,MATCH($A69,'01-Cadastro-Motos'!$A$4:$A$123,0)),""))</f>
        <v/>
      </c>
      <c r="C69" s="18">
        <f>IF($A69="","",IFERROR(INDEX('01-Cadastro-Motos'!$K$4:$K$123,MATCH($A69,'01-Cadastro-Motos'!$A$4:$A$123,0)),""))</f>
        <v/>
      </c>
      <c r="D69" s="22">
        <f>IF($A69="","",IFERROR(INDEX('01-Cadastro-Motos'!$P$4:$P$123,MATCH($A69,'01-Cadastro-Motos'!$A$4:$A$123,0)),""))</f>
        <v/>
      </c>
      <c r="E69" s="18">
        <f>IF(OR($A69="",$D69=""),"",IF($D69&lt;='00-Parametros'!$C$17,"Fase 1 - Lançamento (0-30)",IF($D69&lt;='00-Parametros'!$C$18,"Fase 2 - Consolidação (31-60)",IF($D69&lt;='00-Parametros'!$C$19,"Fase 3 - Aceleração de Giro (61-90)","Fase 4 - Estoque Envelhecido (&gt;90)"))))</f>
        <v/>
      </c>
      <c r="F69" s="18">
        <f>IF(OR($A69="",$D69=""),"",IF($D69&lt;='00-Parametros'!$C$20,"Estoque Premium",IF($D69&lt;='00-Parametros'!$C$21,"Estoque Saudável",IF($D69&lt;='00-Parametros'!$C$22,"Estoque Atenção","Estoque Crítico"))))</f>
        <v/>
      </c>
      <c r="G69" s="15">
        <f>IF(OR($A69="",$D69=""),"",IF($D69&lt;='00-Parametros'!$C$17,IFERROR(INDEX('06-Precificacao'!$H$4:$H$123,MATCH($A69,'06-Precificacao'!$A$4:$A$123,0)),0),IF($D69&lt;='00-Parametros'!$C$18,IFERROR(INDEX('06-Precificacao'!$I$4:$I$123,MATCH($A69,'06-Precificacao'!$A$4:$A$123,0)),0),IFERROR(INDEX('06-Precificacao'!$J$4:$J$123,MATCH($A69,'06-Precificacao'!$A$4:$A$123,0)),0))))</f>
        <v/>
      </c>
      <c r="H69" s="15">
        <f>IF(OR($A69="",$C69=""),"",IF($C69&lt;&gt;"Vendida",IFERROR(INDEX('01-Cadastro-Motos'!$I$4:$I$123,MATCH($A69,'01-Cadastro-Motos'!$A$4:$A$123,0)),""),0))</f>
        <v/>
      </c>
      <c r="I69" s="18">
        <f>IF(OR($A69="",$D69=""),"",IF($D69&gt;'00-Parametros'!$C$19,"SIM - ver Pilar 10.4","Não"))</f>
        <v/>
      </c>
    </row>
    <row r="70">
      <c r="A70" s="18">
        <f>IF('01-Cadastro-Motos'!$A70="","",'01-Cadastro-Motos'!$A70)</f>
        <v/>
      </c>
      <c r="B70" s="18">
        <f>IF($A70="","",IFERROR(INDEX('01-Cadastro-Motos'!$B$4:$B$123,MATCH($A70,'01-Cadastro-Motos'!$A$4:$A$123,0)),""))</f>
        <v/>
      </c>
      <c r="C70" s="18">
        <f>IF($A70="","",IFERROR(INDEX('01-Cadastro-Motos'!$K$4:$K$123,MATCH($A70,'01-Cadastro-Motos'!$A$4:$A$123,0)),""))</f>
        <v/>
      </c>
      <c r="D70" s="22">
        <f>IF($A70="","",IFERROR(INDEX('01-Cadastro-Motos'!$P$4:$P$123,MATCH($A70,'01-Cadastro-Motos'!$A$4:$A$123,0)),""))</f>
        <v/>
      </c>
      <c r="E70" s="18">
        <f>IF(OR($A70="",$D70=""),"",IF($D70&lt;='00-Parametros'!$C$17,"Fase 1 - Lançamento (0-30)",IF($D70&lt;='00-Parametros'!$C$18,"Fase 2 - Consolidação (31-60)",IF($D70&lt;='00-Parametros'!$C$19,"Fase 3 - Aceleração de Giro (61-90)","Fase 4 - Estoque Envelhecido (&gt;90)"))))</f>
        <v/>
      </c>
      <c r="F70" s="18">
        <f>IF(OR($A70="",$D70=""),"",IF($D70&lt;='00-Parametros'!$C$20,"Estoque Premium",IF($D70&lt;='00-Parametros'!$C$21,"Estoque Saudável",IF($D70&lt;='00-Parametros'!$C$22,"Estoque Atenção","Estoque Crítico"))))</f>
        <v/>
      </c>
      <c r="G70" s="15">
        <f>IF(OR($A70="",$D70=""),"",IF($D70&lt;='00-Parametros'!$C$17,IFERROR(INDEX('06-Precificacao'!$H$4:$H$123,MATCH($A70,'06-Precificacao'!$A$4:$A$123,0)),0),IF($D70&lt;='00-Parametros'!$C$18,IFERROR(INDEX('06-Precificacao'!$I$4:$I$123,MATCH($A70,'06-Precificacao'!$A$4:$A$123,0)),0),IFERROR(INDEX('06-Precificacao'!$J$4:$J$123,MATCH($A70,'06-Precificacao'!$A$4:$A$123,0)),0))))</f>
        <v/>
      </c>
      <c r="H70" s="15">
        <f>IF(OR($A70="",$C70=""),"",IF($C70&lt;&gt;"Vendida",IFERROR(INDEX('01-Cadastro-Motos'!$I$4:$I$123,MATCH($A70,'01-Cadastro-Motos'!$A$4:$A$123,0)),""),0))</f>
        <v/>
      </c>
      <c r="I70" s="18">
        <f>IF(OR($A70="",$D70=""),"",IF($D70&gt;'00-Parametros'!$C$19,"SIM - ver Pilar 10.4","Não"))</f>
        <v/>
      </c>
    </row>
    <row r="71">
      <c r="A71" s="18">
        <f>IF('01-Cadastro-Motos'!$A71="","",'01-Cadastro-Motos'!$A71)</f>
        <v/>
      </c>
      <c r="B71" s="18">
        <f>IF($A71="","",IFERROR(INDEX('01-Cadastro-Motos'!$B$4:$B$123,MATCH($A71,'01-Cadastro-Motos'!$A$4:$A$123,0)),""))</f>
        <v/>
      </c>
      <c r="C71" s="18">
        <f>IF($A71="","",IFERROR(INDEX('01-Cadastro-Motos'!$K$4:$K$123,MATCH($A71,'01-Cadastro-Motos'!$A$4:$A$123,0)),""))</f>
        <v/>
      </c>
      <c r="D71" s="22">
        <f>IF($A71="","",IFERROR(INDEX('01-Cadastro-Motos'!$P$4:$P$123,MATCH($A71,'01-Cadastro-Motos'!$A$4:$A$123,0)),""))</f>
        <v/>
      </c>
      <c r="E71" s="18">
        <f>IF(OR($A71="",$D71=""),"",IF($D71&lt;='00-Parametros'!$C$17,"Fase 1 - Lançamento (0-30)",IF($D71&lt;='00-Parametros'!$C$18,"Fase 2 - Consolidação (31-60)",IF($D71&lt;='00-Parametros'!$C$19,"Fase 3 - Aceleração de Giro (61-90)","Fase 4 - Estoque Envelhecido (&gt;90)"))))</f>
        <v/>
      </c>
      <c r="F71" s="18">
        <f>IF(OR($A71="",$D71=""),"",IF($D71&lt;='00-Parametros'!$C$20,"Estoque Premium",IF($D71&lt;='00-Parametros'!$C$21,"Estoque Saudável",IF($D71&lt;='00-Parametros'!$C$22,"Estoque Atenção","Estoque Crítico"))))</f>
        <v/>
      </c>
      <c r="G71" s="15">
        <f>IF(OR($A71="",$D71=""),"",IF($D71&lt;='00-Parametros'!$C$17,IFERROR(INDEX('06-Precificacao'!$H$4:$H$123,MATCH($A71,'06-Precificacao'!$A$4:$A$123,0)),0),IF($D71&lt;='00-Parametros'!$C$18,IFERROR(INDEX('06-Precificacao'!$I$4:$I$123,MATCH($A71,'06-Precificacao'!$A$4:$A$123,0)),0),IFERROR(INDEX('06-Precificacao'!$J$4:$J$123,MATCH($A71,'06-Precificacao'!$A$4:$A$123,0)),0))))</f>
        <v/>
      </c>
      <c r="H71" s="15">
        <f>IF(OR($A71="",$C71=""),"",IF($C71&lt;&gt;"Vendida",IFERROR(INDEX('01-Cadastro-Motos'!$I$4:$I$123,MATCH($A71,'01-Cadastro-Motos'!$A$4:$A$123,0)),""),0))</f>
        <v/>
      </c>
      <c r="I71" s="18">
        <f>IF(OR($A71="",$D71=""),"",IF($D71&gt;'00-Parametros'!$C$19,"SIM - ver Pilar 10.4","Não"))</f>
        <v/>
      </c>
    </row>
    <row r="72">
      <c r="A72" s="18">
        <f>IF('01-Cadastro-Motos'!$A72="","",'01-Cadastro-Motos'!$A72)</f>
        <v/>
      </c>
      <c r="B72" s="18">
        <f>IF($A72="","",IFERROR(INDEX('01-Cadastro-Motos'!$B$4:$B$123,MATCH($A72,'01-Cadastro-Motos'!$A$4:$A$123,0)),""))</f>
        <v/>
      </c>
      <c r="C72" s="18">
        <f>IF($A72="","",IFERROR(INDEX('01-Cadastro-Motos'!$K$4:$K$123,MATCH($A72,'01-Cadastro-Motos'!$A$4:$A$123,0)),""))</f>
        <v/>
      </c>
      <c r="D72" s="22">
        <f>IF($A72="","",IFERROR(INDEX('01-Cadastro-Motos'!$P$4:$P$123,MATCH($A72,'01-Cadastro-Motos'!$A$4:$A$123,0)),""))</f>
        <v/>
      </c>
      <c r="E72" s="18">
        <f>IF(OR($A72="",$D72=""),"",IF($D72&lt;='00-Parametros'!$C$17,"Fase 1 - Lançamento (0-30)",IF($D72&lt;='00-Parametros'!$C$18,"Fase 2 - Consolidação (31-60)",IF($D72&lt;='00-Parametros'!$C$19,"Fase 3 - Aceleração de Giro (61-90)","Fase 4 - Estoque Envelhecido (&gt;90)"))))</f>
        <v/>
      </c>
      <c r="F72" s="18">
        <f>IF(OR($A72="",$D72=""),"",IF($D72&lt;='00-Parametros'!$C$20,"Estoque Premium",IF($D72&lt;='00-Parametros'!$C$21,"Estoque Saudável",IF($D72&lt;='00-Parametros'!$C$22,"Estoque Atenção","Estoque Crítico"))))</f>
        <v/>
      </c>
      <c r="G72" s="15">
        <f>IF(OR($A72="",$D72=""),"",IF($D72&lt;='00-Parametros'!$C$17,IFERROR(INDEX('06-Precificacao'!$H$4:$H$123,MATCH($A72,'06-Precificacao'!$A$4:$A$123,0)),0),IF($D72&lt;='00-Parametros'!$C$18,IFERROR(INDEX('06-Precificacao'!$I$4:$I$123,MATCH($A72,'06-Precificacao'!$A$4:$A$123,0)),0),IFERROR(INDEX('06-Precificacao'!$J$4:$J$123,MATCH($A72,'06-Precificacao'!$A$4:$A$123,0)),0))))</f>
        <v/>
      </c>
      <c r="H72" s="15">
        <f>IF(OR($A72="",$C72=""),"",IF($C72&lt;&gt;"Vendida",IFERROR(INDEX('01-Cadastro-Motos'!$I$4:$I$123,MATCH($A72,'01-Cadastro-Motos'!$A$4:$A$123,0)),""),0))</f>
        <v/>
      </c>
      <c r="I72" s="18">
        <f>IF(OR($A72="",$D72=""),"",IF($D72&gt;'00-Parametros'!$C$19,"SIM - ver Pilar 10.4","Não"))</f>
        <v/>
      </c>
    </row>
    <row r="73">
      <c r="A73" s="18">
        <f>IF('01-Cadastro-Motos'!$A73="","",'01-Cadastro-Motos'!$A73)</f>
        <v/>
      </c>
      <c r="B73" s="18">
        <f>IF($A73="","",IFERROR(INDEX('01-Cadastro-Motos'!$B$4:$B$123,MATCH($A73,'01-Cadastro-Motos'!$A$4:$A$123,0)),""))</f>
        <v/>
      </c>
      <c r="C73" s="18">
        <f>IF($A73="","",IFERROR(INDEX('01-Cadastro-Motos'!$K$4:$K$123,MATCH($A73,'01-Cadastro-Motos'!$A$4:$A$123,0)),""))</f>
        <v/>
      </c>
      <c r="D73" s="22">
        <f>IF($A73="","",IFERROR(INDEX('01-Cadastro-Motos'!$P$4:$P$123,MATCH($A73,'01-Cadastro-Motos'!$A$4:$A$123,0)),""))</f>
        <v/>
      </c>
      <c r="E73" s="18">
        <f>IF(OR($A73="",$D73=""),"",IF($D73&lt;='00-Parametros'!$C$17,"Fase 1 - Lançamento (0-30)",IF($D73&lt;='00-Parametros'!$C$18,"Fase 2 - Consolidação (31-60)",IF($D73&lt;='00-Parametros'!$C$19,"Fase 3 - Aceleração de Giro (61-90)","Fase 4 - Estoque Envelhecido (&gt;90)"))))</f>
        <v/>
      </c>
      <c r="F73" s="18">
        <f>IF(OR($A73="",$D73=""),"",IF($D73&lt;='00-Parametros'!$C$20,"Estoque Premium",IF($D73&lt;='00-Parametros'!$C$21,"Estoque Saudável",IF($D73&lt;='00-Parametros'!$C$22,"Estoque Atenção","Estoque Crítico"))))</f>
        <v/>
      </c>
      <c r="G73" s="15">
        <f>IF(OR($A73="",$D73=""),"",IF($D73&lt;='00-Parametros'!$C$17,IFERROR(INDEX('06-Precificacao'!$H$4:$H$123,MATCH($A73,'06-Precificacao'!$A$4:$A$123,0)),0),IF($D73&lt;='00-Parametros'!$C$18,IFERROR(INDEX('06-Precificacao'!$I$4:$I$123,MATCH($A73,'06-Precificacao'!$A$4:$A$123,0)),0),IFERROR(INDEX('06-Precificacao'!$J$4:$J$123,MATCH($A73,'06-Precificacao'!$A$4:$A$123,0)),0))))</f>
        <v/>
      </c>
      <c r="H73" s="15">
        <f>IF(OR($A73="",$C73=""),"",IF($C73&lt;&gt;"Vendida",IFERROR(INDEX('01-Cadastro-Motos'!$I$4:$I$123,MATCH($A73,'01-Cadastro-Motos'!$A$4:$A$123,0)),""),0))</f>
        <v/>
      </c>
      <c r="I73" s="18">
        <f>IF(OR($A73="",$D73=""),"",IF($D73&gt;'00-Parametros'!$C$19,"SIM - ver Pilar 10.4","Não"))</f>
        <v/>
      </c>
    </row>
    <row r="74">
      <c r="A74" s="18">
        <f>IF('01-Cadastro-Motos'!$A74="","",'01-Cadastro-Motos'!$A74)</f>
        <v/>
      </c>
      <c r="B74" s="18">
        <f>IF($A74="","",IFERROR(INDEX('01-Cadastro-Motos'!$B$4:$B$123,MATCH($A74,'01-Cadastro-Motos'!$A$4:$A$123,0)),""))</f>
        <v/>
      </c>
      <c r="C74" s="18">
        <f>IF($A74="","",IFERROR(INDEX('01-Cadastro-Motos'!$K$4:$K$123,MATCH($A74,'01-Cadastro-Motos'!$A$4:$A$123,0)),""))</f>
        <v/>
      </c>
      <c r="D74" s="22">
        <f>IF($A74="","",IFERROR(INDEX('01-Cadastro-Motos'!$P$4:$P$123,MATCH($A74,'01-Cadastro-Motos'!$A$4:$A$123,0)),""))</f>
        <v/>
      </c>
      <c r="E74" s="18">
        <f>IF(OR($A74="",$D74=""),"",IF($D74&lt;='00-Parametros'!$C$17,"Fase 1 - Lançamento (0-30)",IF($D74&lt;='00-Parametros'!$C$18,"Fase 2 - Consolidação (31-60)",IF($D74&lt;='00-Parametros'!$C$19,"Fase 3 - Aceleração de Giro (61-90)","Fase 4 - Estoque Envelhecido (&gt;90)"))))</f>
        <v/>
      </c>
      <c r="F74" s="18">
        <f>IF(OR($A74="",$D74=""),"",IF($D74&lt;='00-Parametros'!$C$20,"Estoque Premium",IF($D74&lt;='00-Parametros'!$C$21,"Estoque Saudável",IF($D74&lt;='00-Parametros'!$C$22,"Estoque Atenção","Estoque Crítico"))))</f>
        <v/>
      </c>
      <c r="G74" s="15">
        <f>IF(OR($A74="",$D74=""),"",IF($D74&lt;='00-Parametros'!$C$17,IFERROR(INDEX('06-Precificacao'!$H$4:$H$123,MATCH($A74,'06-Precificacao'!$A$4:$A$123,0)),0),IF($D74&lt;='00-Parametros'!$C$18,IFERROR(INDEX('06-Precificacao'!$I$4:$I$123,MATCH($A74,'06-Precificacao'!$A$4:$A$123,0)),0),IFERROR(INDEX('06-Precificacao'!$J$4:$J$123,MATCH($A74,'06-Precificacao'!$A$4:$A$123,0)),0))))</f>
        <v/>
      </c>
      <c r="H74" s="15">
        <f>IF(OR($A74="",$C74=""),"",IF($C74&lt;&gt;"Vendida",IFERROR(INDEX('01-Cadastro-Motos'!$I$4:$I$123,MATCH($A74,'01-Cadastro-Motos'!$A$4:$A$123,0)),""),0))</f>
        <v/>
      </c>
      <c r="I74" s="18">
        <f>IF(OR($A74="",$D74=""),"",IF($D74&gt;'00-Parametros'!$C$19,"SIM - ver Pilar 10.4","Não"))</f>
        <v/>
      </c>
    </row>
    <row r="75">
      <c r="A75" s="18">
        <f>IF('01-Cadastro-Motos'!$A75="","",'01-Cadastro-Motos'!$A75)</f>
        <v/>
      </c>
      <c r="B75" s="18">
        <f>IF($A75="","",IFERROR(INDEX('01-Cadastro-Motos'!$B$4:$B$123,MATCH($A75,'01-Cadastro-Motos'!$A$4:$A$123,0)),""))</f>
        <v/>
      </c>
      <c r="C75" s="18">
        <f>IF($A75="","",IFERROR(INDEX('01-Cadastro-Motos'!$K$4:$K$123,MATCH($A75,'01-Cadastro-Motos'!$A$4:$A$123,0)),""))</f>
        <v/>
      </c>
      <c r="D75" s="22">
        <f>IF($A75="","",IFERROR(INDEX('01-Cadastro-Motos'!$P$4:$P$123,MATCH($A75,'01-Cadastro-Motos'!$A$4:$A$123,0)),""))</f>
        <v/>
      </c>
      <c r="E75" s="18">
        <f>IF(OR($A75="",$D75=""),"",IF($D75&lt;='00-Parametros'!$C$17,"Fase 1 - Lançamento (0-30)",IF($D75&lt;='00-Parametros'!$C$18,"Fase 2 - Consolidação (31-60)",IF($D75&lt;='00-Parametros'!$C$19,"Fase 3 - Aceleração de Giro (61-90)","Fase 4 - Estoque Envelhecido (&gt;90)"))))</f>
        <v/>
      </c>
      <c r="F75" s="18">
        <f>IF(OR($A75="",$D75=""),"",IF($D75&lt;='00-Parametros'!$C$20,"Estoque Premium",IF($D75&lt;='00-Parametros'!$C$21,"Estoque Saudável",IF($D75&lt;='00-Parametros'!$C$22,"Estoque Atenção","Estoque Crítico"))))</f>
        <v/>
      </c>
      <c r="G75" s="15">
        <f>IF(OR($A75="",$D75=""),"",IF($D75&lt;='00-Parametros'!$C$17,IFERROR(INDEX('06-Precificacao'!$H$4:$H$123,MATCH($A75,'06-Precificacao'!$A$4:$A$123,0)),0),IF($D75&lt;='00-Parametros'!$C$18,IFERROR(INDEX('06-Precificacao'!$I$4:$I$123,MATCH($A75,'06-Precificacao'!$A$4:$A$123,0)),0),IFERROR(INDEX('06-Precificacao'!$J$4:$J$123,MATCH($A75,'06-Precificacao'!$A$4:$A$123,0)),0))))</f>
        <v/>
      </c>
      <c r="H75" s="15">
        <f>IF(OR($A75="",$C75=""),"",IF($C75&lt;&gt;"Vendida",IFERROR(INDEX('01-Cadastro-Motos'!$I$4:$I$123,MATCH($A75,'01-Cadastro-Motos'!$A$4:$A$123,0)),""),0))</f>
        <v/>
      </c>
      <c r="I75" s="18">
        <f>IF(OR($A75="",$D75=""),"",IF($D75&gt;'00-Parametros'!$C$19,"SIM - ver Pilar 10.4","Não"))</f>
        <v/>
      </c>
    </row>
    <row r="76">
      <c r="A76" s="18">
        <f>IF('01-Cadastro-Motos'!$A76="","",'01-Cadastro-Motos'!$A76)</f>
        <v/>
      </c>
      <c r="B76" s="18">
        <f>IF($A76="","",IFERROR(INDEX('01-Cadastro-Motos'!$B$4:$B$123,MATCH($A76,'01-Cadastro-Motos'!$A$4:$A$123,0)),""))</f>
        <v/>
      </c>
      <c r="C76" s="18">
        <f>IF($A76="","",IFERROR(INDEX('01-Cadastro-Motos'!$K$4:$K$123,MATCH($A76,'01-Cadastro-Motos'!$A$4:$A$123,0)),""))</f>
        <v/>
      </c>
      <c r="D76" s="22">
        <f>IF($A76="","",IFERROR(INDEX('01-Cadastro-Motos'!$P$4:$P$123,MATCH($A76,'01-Cadastro-Motos'!$A$4:$A$123,0)),""))</f>
        <v/>
      </c>
      <c r="E76" s="18">
        <f>IF(OR($A76="",$D76=""),"",IF($D76&lt;='00-Parametros'!$C$17,"Fase 1 - Lançamento (0-30)",IF($D76&lt;='00-Parametros'!$C$18,"Fase 2 - Consolidação (31-60)",IF($D76&lt;='00-Parametros'!$C$19,"Fase 3 - Aceleração de Giro (61-90)","Fase 4 - Estoque Envelhecido (&gt;90)"))))</f>
        <v/>
      </c>
      <c r="F76" s="18">
        <f>IF(OR($A76="",$D76=""),"",IF($D76&lt;='00-Parametros'!$C$20,"Estoque Premium",IF($D76&lt;='00-Parametros'!$C$21,"Estoque Saudável",IF($D76&lt;='00-Parametros'!$C$22,"Estoque Atenção","Estoque Crítico"))))</f>
        <v/>
      </c>
      <c r="G76" s="15">
        <f>IF(OR($A76="",$D76=""),"",IF($D76&lt;='00-Parametros'!$C$17,IFERROR(INDEX('06-Precificacao'!$H$4:$H$123,MATCH($A76,'06-Precificacao'!$A$4:$A$123,0)),0),IF($D76&lt;='00-Parametros'!$C$18,IFERROR(INDEX('06-Precificacao'!$I$4:$I$123,MATCH($A76,'06-Precificacao'!$A$4:$A$123,0)),0),IFERROR(INDEX('06-Precificacao'!$J$4:$J$123,MATCH($A76,'06-Precificacao'!$A$4:$A$123,0)),0))))</f>
        <v/>
      </c>
      <c r="H76" s="15">
        <f>IF(OR($A76="",$C76=""),"",IF($C76&lt;&gt;"Vendida",IFERROR(INDEX('01-Cadastro-Motos'!$I$4:$I$123,MATCH($A76,'01-Cadastro-Motos'!$A$4:$A$123,0)),""),0))</f>
        <v/>
      </c>
      <c r="I76" s="18">
        <f>IF(OR($A76="",$D76=""),"",IF($D76&gt;'00-Parametros'!$C$19,"SIM - ver Pilar 10.4","Não"))</f>
        <v/>
      </c>
    </row>
    <row r="77">
      <c r="A77" s="18">
        <f>IF('01-Cadastro-Motos'!$A77="","",'01-Cadastro-Motos'!$A77)</f>
        <v/>
      </c>
      <c r="B77" s="18">
        <f>IF($A77="","",IFERROR(INDEX('01-Cadastro-Motos'!$B$4:$B$123,MATCH($A77,'01-Cadastro-Motos'!$A$4:$A$123,0)),""))</f>
        <v/>
      </c>
      <c r="C77" s="18">
        <f>IF($A77="","",IFERROR(INDEX('01-Cadastro-Motos'!$K$4:$K$123,MATCH($A77,'01-Cadastro-Motos'!$A$4:$A$123,0)),""))</f>
        <v/>
      </c>
      <c r="D77" s="22">
        <f>IF($A77="","",IFERROR(INDEX('01-Cadastro-Motos'!$P$4:$P$123,MATCH($A77,'01-Cadastro-Motos'!$A$4:$A$123,0)),""))</f>
        <v/>
      </c>
      <c r="E77" s="18">
        <f>IF(OR($A77="",$D77=""),"",IF($D77&lt;='00-Parametros'!$C$17,"Fase 1 - Lançamento (0-30)",IF($D77&lt;='00-Parametros'!$C$18,"Fase 2 - Consolidação (31-60)",IF($D77&lt;='00-Parametros'!$C$19,"Fase 3 - Aceleração de Giro (61-90)","Fase 4 - Estoque Envelhecido (&gt;90)"))))</f>
        <v/>
      </c>
      <c r="F77" s="18">
        <f>IF(OR($A77="",$D77=""),"",IF($D77&lt;='00-Parametros'!$C$20,"Estoque Premium",IF($D77&lt;='00-Parametros'!$C$21,"Estoque Saudável",IF($D77&lt;='00-Parametros'!$C$22,"Estoque Atenção","Estoque Crítico"))))</f>
        <v/>
      </c>
      <c r="G77" s="15">
        <f>IF(OR($A77="",$D77=""),"",IF($D77&lt;='00-Parametros'!$C$17,IFERROR(INDEX('06-Precificacao'!$H$4:$H$123,MATCH($A77,'06-Precificacao'!$A$4:$A$123,0)),0),IF($D77&lt;='00-Parametros'!$C$18,IFERROR(INDEX('06-Precificacao'!$I$4:$I$123,MATCH($A77,'06-Precificacao'!$A$4:$A$123,0)),0),IFERROR(INDEX('06-Precificacao'!$J$4:$J$123,MATCH($A77,'06-Precificacao'!$A$4:$A$123,0)),0))))</f>
        <v/>
      </c>
      <c r="H77" s="15">
        <f>IF(OR($A77="",$C77=""),"",IF($C77&lt;&gt;"Vendida",IFERROR(INDEX('01-Cadastro-Motos'!$I$4:$I$123,MATCH($A77,'01-Cadastro-Motos'!$A$4:$A$123,0)),""),0))</f>
        <v/>
      </c>
      <c r="I77" s="18">
        <f>IF(OR($A77="",$D77=""),"",IF($D77&gt;'00-Parametros'!$C$19,"SIM - ver Pilar 10.4","Não"))</f>
        <v/>
      </c>
    </row>
    <row r="78">
      <c r="A78" s="18">
        <f>IF('01-Cadastro-Motos'!$A78="","",'01-Cadastro-Motos'!$A78)</f>
        <v/>
      </c>
      <c r="B78" s="18">
        <f>IF($A78="","",IFERROR(INDEX('01-Cadastro-Motos'!$B$4:$B$123,MATCH($A78,'01-Cadastro-Motos'!$A$4:$A$123,0)),""))</f>
        <v/>
      </c>
      <c r="C78" s="18">
        <f>IF($A78="","",IFERROR(INDEX('01-Cadastro-Motos'!$K$4:$K$123,MATCH($A78,'01-Cadastro-Motos'!$A$4:$A$123,0)),""))</f>
        <v/>
      </c>
      <c r="D78" s="22">
        <f>IF($A78="","",IFERROR(INDEX('01-Cadastro-Motos'!$P$4:$P$123,MATCH($A78,'01-Cadastro-Motos'!$A$4:$A$123,0)),""))</f>
        <v/>
      </c>
      <c r="E78" s="18">
        <f>IF(OR($A78="",$D78=""),"",IF($D78&lt;='00-Parametros'!$C$17,"Fase 1 - Lançamento (0-30)",IF($D78&lt;='00-Parametros'!$C$18,"Fase 2 - Consolidação (31-60)",IF($D78&lt;='00-Parametros'!$C$19,"Fase 3 - Aceleração de Giro (61-90)","Fase 4 - Estoque Envelhecido (&gt;90)"))))</f>
        <v/>
      </c>
      <c r="F78" s="18">
        <f>IF(OR($A78="",$D78=""),"",IF($D78&lt;='00-Parametros'!$C$20,"Estoque Premium",IF($D78&lt;='00-Parametros'!$C$21,"Estoque Saudável",IF($D78&lt;='00-Parametros'!$C$22,"Estoque Atenção","Estoque Crítico"))))</f>
        <v/>
      </c>
      <c r="G78" s="15">
        <f>IF(OR($A78="",$D78=""),"",IF($D78&lt;='00-Parametros'!$C$17,IFERROR(INDEX('06-Precificacao'!$H$4:$H$123,MATCH($A78,'06-Precificacao'!$A$4:$A$123,0)),0),IF($D78&lt;='00-Parametros'!$C$18,IFERROR(INDEX('06-Precificacao'!$I$4:$I$123,MATCH($A78,'06-Precificacao'!$A$4:$A$123,0)),0),IFERROR(INDEX('06-Precificacao'!$J$4:$J$123,MATCH($A78,'06-Precificacao'!$A$4:$A$123,0)),0))))</f>
        <v/>
      </c>
      <c r="H78" s="15">
        <f>IF(OR($A78="",$C78=""),"",IF($C78&lt;&gt;"Vendida",IFERROR(INDEX('01-Cadastro-Motos'!$I$4:$I$123,MATCH($A78,'01-Cadastro-Motos'!$A$4:$A$123,0)),""),0))</f>
        <v/>
      </c>
      <c r="I78" s="18">
        <f>IF(OR($A78="",$D78=""),"",IF($D78&gt;'00-Parametros'!$C$19,"SIM - ver Pilar 10.4","Não"))</f>
        <v/>
      </c>
    </row>
    <row r="79">
      <c r="A79" s="18">
        <f>IF('01-Cadastro-Motos'!$A79="","",'01-Cadastro-Motos'!$A79)</f>
        <v/>
      </c>
      <c r="B79" s="18">
        <f>IF($A79="","",IFERROR(INDEX('01-Cadastro-Motos'!$B$4:$B$123,MATCH($A79,'01-Cadastro-Motos'!$A$4:$A$123,0)),""))</f>
        <v/>
      </c>
      <c r="C79" s="18">
        <f>IF($A79="","",IFERROR(INDEX('01-Cadastro-Motos'!$K$4:$K$123,MATCH($A79,'01-Cadastro-Motos'!$A$4:$A$123,0)),""))</f>
        <v/>
      </c>
      <c r="D79" s="22">
        <f>IF($A79="","",IFERROR(INDEX('01-Cadastro-Motos'!$P$4:$P$123,MATCH($A79,'01-Cadastro-Motos'!$A$4:$A$123,0)),""))</f>
        <v/>
      </c>
      <c r="E79" s="18">
        <f>IF(OR($A79="",$D79=""),"",IF($D79&lt;='00-Parametros'!$C$17,"Fase 1 - Lançamento (0-30)",IF($D79&lt;='00-Parametros'!$C$18,"Fase 2 - Consolidação (31-60)",IF($D79&lt;='00-Parametros'!$C$19,"Fase 3 - Aceleração de Giro (61-90)","Fase 4 - Estoque Envelhecido (&gt;90)"))))</f>
        <v/>
      </c>
      <c r="F79" s="18">
        <f>IF(OR($A79="",$D79=""),"",IF($D79&lt;='00-Parametros'!$C$20,"Estoque Premium",IF($D79&lt;='00-Parametros'!$C$21,"Estoque Saudável",IF($D79&lt;='00-Parametros'!$C$22,"Estoque Atenção","Estoque Crítico"))))</f>
        <v/>
      </c>
      <c r="G79" s="15">
        <f>IF(OR($A79="",$D79=""),"",IF($D79&lt;='00-Parametros'!$C$17,IFERROR(INDEX('06-Precificacao'!$H$4:$H$123,MATCH($A79,'06-Precificacao'!$A$4:$A$123,0)),0),IF($D79&lt;='00-Parametros'!$C$18,IFERROR(INDEX('06-Precificacao'!$I$4:$I$123,MATCH($A79,'06-Precificacao'!$A$4:$A$123,0)),0),IFERROR(INDEX('06-Precificacao'!$J$4:$J$123,MATCH($A79,'06-Precificacao'!$A$4:$A$123,0)),0))))</f>
        <v/>
      </c>
      <c r="H79" s="15">
        <f>IF(OR($A79="",$C79=""),"",IF($C79&lt;&gt;"Vendida",IFERROR(INDEX('01-Cadastro-Motos'!$I$4:$I$123,MATCH($A79,'01-Cadastro-Motos'!$A$4:$A$123,0)),""),0))</f>
        <v/>
      </c>
      <c r="I79" s="18">
        <f>IF(OR($A79="",$D79=""),"",IF($D79&gt;'00-Parametros'!$C$19,"SIM - ver Pilar 10.4","Não"))</f>
        <v/>
      </c>
    </row>
    <row r="80">
      <c r="A80" s="18">
        <f>IF('01-Cadastro-Motos'!$A80="","",'01-Cadastro-Motos'!$A80)</f>
        <v/>
      </c>
      <c r="B80" s="18">
        <f>IF($A80="","",IFERROR(INDEX('01-Cadastro-Motos'!$B$4:$B$123,MATCH($A80,'01-Cadastro-Motos'!$A$4:$A$123,0)),""))</f>
        <v/>
      </c>
      <c r="C80" s="18">
        <f>IF($A80="","",IFERROR(INDEX('01-Cadastro-Motos'!$K$4:$K$123,MATCH($A80,'01-Cadastro-Motos'!$A$4:$A$123,0)),""))</f>
        <v/>
      </c>
      <c r="D80" s="22">
        <f>IF($A80="","",IFERROR(INDEX('01-Cadastro-Motos'!$P$4:$P$123,MATCH($A80,'01-Cadastro-Motos'!$A$4:$A$123,0)),""))</f>
        <v/>
      </c>
      <c r="E80" s="18">
        <f>IF(OR($A80="",$D80=""),"",IF($D80&lt;='00-Parametros'!$C$17,"Fase 1 - Lançamento (0-30)",IF($D80&lt;='00-Parametros'!$C$18,"Fase 2 - Consolidação (31-60)",IF($D80&lt;='00-Parametros'!$C$19,"Fase 3 - Aceleração de Giro (61-90)","Fase 4 - Estoque Envelhecido (&gt;90)"))))</f>
        <v/>
      </c>
      <c r="F80" s="18">
        <f>IF(OR($A80="",$D80=""),"",IF($D80&lt;='00-Parametros'!$C$20,"Estoque Premium",IF($D80&lt;='00-Parametros'!$C$21,"Estoque Saudável",IF($D80&lt;='00-Parametros'!$C$22,"Estoque Atenção","Estoque Crítico"))))</f>
        <v/>
      </c>
      <c r="G80" s="15">
        <f>IF(OR($A80="",$D80=""),"",IF($D80&lt;='00-Parametros'!$C$17,IFERROR(INDEX('06-Precificacao'!$H$4:$H$123,MATCH($A80,'06-Precificacao'!$A$4:$A$123,0)),0),IF($D80&lt;='00-Parametros'!$C$18,IFERROR(INDEX('06-Precificacao'!$I$4:$I$123,MATCH($A80,'06-Precificacao'!$A$4:$A$123,0)),0),IFERROR(INDEX('06-Precificacao'!$J$4:$J$123,MATCH($A80,'06-Precificacao'!$A$4:$A$123,0)),0))))</f>
        <v/>
      </c>
      <c r="H80" s="15">
        <f>IF(OR($A80="",$C80=""),"",IF($C80&lt;&gt;"Vendida",IFERROR(INDEX('01-Cadastro-Motos'!$I$4:$I$123,MATCH($A80,'01-Cadastro-Motos'!$A$4:$A$123,0)),""),0))</f>
        <v/>
      </c>
      <c r="I80" s="18">
        <f>IF(OR($A80="",$D80=""),"",IF($D80&gt;'00-Parametros'!$C$19,"SIM - ver Pilar 10.4","Não"))</f>
        <v/>
      </c>
    </row>
    <row r="81">
      <c r="A81" s="18">
        <f>IF('01-Cadastro-Motos'!$A81="","",'01-Cadastro-Motos'!$A81)</f>
        <v/>
      </c>
      <c r="B81" s="18">
        <f>IF($A81="","",IFERROR(INDEX('01-Cadastro-Motos'!$B$4:$B$123,MATCH($A81,'01-Cadastro-Motos'!$A$4:$A$123,0)),""))</f>
        <v/>
      </c>
      <c r="C81" s="18">
        <f>IF($A81="","",IFERROR(INDEX('01-Cadastro-Motos'!$K$4:$K$123,MATCH($A81,'01-Cadastro-Motos'!$A$4:$A$123,0)),""))</f>
        <v/>
      </c>
      <c r="D81" s="22">
        <f>IF($A81="","",IFERROR(INDEX('01-Cadastro-Motos'!$P$4:$P$123,MATCH($A81,'01-Cadastro-Motos'!$A$4:$A$123,0)),""))</f>
        <v/>
      </c>
      <c r="E81" s="18">
        <f>IF(OR($A81="",$D81=""),"",IF($D81&lt;='00-Parametros'!$C$17,"Fase 1 - Lançamento (0-30)",IF($D81&lt;='00-Parametros'!$C$18,"Fase 2 - Consolidação (31-60)",IF($D81&lt;='00-Parametros'!$C$19,"Fase 3 - Aceleração de Giro (61-90)","Fase 4 - Estoque Envelhecido (&gt;90)"))))</f>
        <v/>
      </c>
      <c r="F81" s="18">
        <f>IF(OR($A81="",$D81=""),"",IF($D81&lt;='00-Parametros'!$C$20,"Estoque Premium",IF($D81&lt;='00-Parametros'!$C$21,"Estoque Saudável",IF($D81&lt;='00-Parametros'!$C$22,"Estoque Atenção","Estoque Crítico"))))</f>
        <v/>
      </c>
      <c r="G81" s="15">
        <f>IF(OR($A81="",$D81=""),"",IF($D81&lt;='00-Parametros'!$C$17,IFERROR(INDEX('06-Precificacao'!$H$4:$H$123,MATCH($A81,'06-Precificacao'!$A$4:$A$123,0)),0),IF($D81&lt;='00-Parametros'!$C$18,IFERROR(INDEX('06-Precificacao'!$I$4:$I$123,MATCH($A81,'06-Precificacao'!$A$4:$A$123,0)),0),IFERROR(INDEX('06-Precificacao'!$J$4:$J$123,MATCH($A81,'06-Precificacao'!$A$4:$A$123,0)),0))))</f>
        <v/>
      </c>
      <c r="H81" s="15">
        <f>IF(OR($A81="",$C81=""),"",IF($C81&lt;&gt;"Vendida",IFERROR(INDEX('01-Cadastro-Motos'!$I$4:$I$123,MATCH($A81,'01-Cadastro-Motos'!$A$4:$A$123,0)),""),0))</f>
        <v/>
      </c>
      <c r="I81" s="18">
        <f>IF(OR($A81="",$D81=""),"",IF($D81&gt;'00-Parametros'!$C$19,"SIM - ver Pilar 10.4","Não"))</f>
        <v/>
      </c>
    </row>
    <row r="82">
      <c r="A82" s="18">
        <f>IF('01-Cadastro-Motos'!$A82="","",'01-Cadastro-Motos'!$A82)</f>
        <v/>
      </c>
      <c r="B82" s="18">
        <f>IF($A82="","",IFERROR(INDEX('01-Cadastro-Motos'!$B$4:$B$123,MATCH($A82,'01-Cadastro-Motos'!$A$4:$A$123,0)),""))</f>
        <v/>
      </c>
      <c r="C82" s="18">
        <f>IF($A82="","",IFERROR(INDEX('01-Cadastro-Motos'!$K$4:$K$123,MATCH($A82,'01-Cadastro-Motos'!$A$4:$A$123,0)),""))</f>
        <v/>
      </c>
      <c r="D82" s="22">
        <f>IF($A82="","",IFERROR(INDEX('01-Cadastro-Motos'!$P$4:$P$123,MATCH($A82,'01-Cadastro-Motos'!$A$4:$A$123,0)),""))</f>
        <v/>
      </c>
      <c r="E82" s="18">
        <f>IF(OR($A82="",$D82=""),"",IF($D82&lt;='00-Parametros'!$C$17,"Fase 1 - Lançamento (0-30)",IF($D82&lt;='00-Parametros'!$C$18,"Fase 2 - Consolidação (31-60)",IF($D82&lt;='00-Parametros'!$C$19,"Fase 3 - Aceleração de Giro (61-90)","Fase 4 - Estoque Envelhecido (&gt;90)"))))</f>
        <v/>
      </c>
      <c r="F82" s="18">
        <f>IF(OR($A82="",$D82=""),"",IF($D82&lt;='00-Parametros'!$C$20,"Estoque Premium",IF($D82&lt;='00-Parametros'!$C$21,"Estoque Saudável",IF($D82&lt;='00-Parametros'!$C$22,"Estoque Atenção","Estoque Crítico"))))</f>
        <v/>
      </c>
      <c r="G82" s="15">
        <f>IF(OR($A82="",$D82=""),"",IF($D82&lt;='00-Parametros'!$C$17,IFERROR(INDEX('06-Precificacao'!$H$4:$H$123,MATCH($A82,'06-Precificacao'!$A$4:$A$123,0)),0),IF($D82&lt;='00-Parametros'!$C$18,IFERROR(INDEX('06-Precificacao'!$I$4:$I$123,MATCH($A82,'06-Precificacao'!$A$4:$A$123,0)),0),IFERROR(INDEX('06-Precificacao'!$J$4:$J$123,MATCH($A82,'06-Precificacao'!$A$4:$A$123,0)),0))))</f>
        <v/>
      </c>
      <c r="H82" s="15">
        <f>IF(OR($A82="",$C82=""),"",IF($C82&lt;&gt;"Vendida",IFERROR(INDEX('01-Cadastro-Motos'!$I$4:$I$123,MATCH($A82,'01-Cadastro-Motos'!$A$4:$A$123,0)),""),0))</f>
        <v/>
      </c>
      <c r="I82" s="18">
        <f>IF(OR($A82="",$D82=""),"",IF($D82&gt;'00-Parametros'!$C$19,"SIM - ver Pilar 10.4","Não"))</f>
        <v/>
      </c>
    </row>
    <row r="83">
      <c r="A83" s="18">
        <f>IF('01-Cadastro-Motos'!$A83="","",'01-Cadastro-Motos'!$A83)</f>
        <v/>
      </c>
      <c r="B83" s="18">
        <f>IF($A83="","",IFERROR(INDEX('01-Cadastro-Motos'!$B$4:$B$123,MATCH($A83,'01-Cadastro-Motos'!$A$4:$A$123,0)),""))</f>
        <v/>
      </c>
      <c r="C83" s="18">
        <f>IF($A83="","",IFERROR(INDEX('01-Cadastro-Motos'!$K$4:$K$123,MATCH($A83,'01-Cadastro-Motos'!$A$4:$A$123,0)),""))</f>
        <v/>
      </c>
      <c r="D83" s="22">
        <f>IF($A83="","",IFERROR(INDEX('01-Cadastro-Motos'!$P$4:$P$123,MATCH($A83,'01-Cadastro-Motos'!$A$4:$A$123,0)),""))</f>
        <v/>
      </c>
      <c r="E83" s="18">
        <f>IF(OR($A83="",$D83=""),"",IF($D83&lt;='00-Parametros'!$C$17,"Fase 1 - Lançamento (0-30)",IF($D83&lt;='00-Parametros'!$C$18,"Fase 2 - Consolidação (31-60)",IF($D83&lt;='00-Parametros'!$C$19,"Fase 3 - Aceleração de Giro (61-90)","Fase 4 - Estoque Envelhecido (&gt;90)"))))</f>
        <v/>
      </c>
      <c r="F83" s="18">
        <f>IF(OR($A83="",$D83=""),"",IF($D83&lt;='00-Parametros'!$C$20,"Estoque Premium",IF($D83&lt;='00-Parametros'!$C$21,"Estoque Saudável",IF($D83&lt;='00-Parametros'!$C$22,"Estoque Atenção","Estoque Crítico"))))</f>
        <v/>
      </c>
      <c r="G83" s="15">
        <f>IF(OR($A83="",$D83=""),"",IF($D83&lt;='00-Parametros'!$C$17,IFERROR(INDEX('06-Precificacao'!$H$4:$H$123,MATCH($A83,'06-Precificacao'!$A$4:$A$123,0)),0),IF($D83&lt;='00-Parametros'!$C$18,IFERROR(INDEX('06-Precificacao'!$I$4:$I$123,MATCH($A83,'06-Precificacao'!$A$4:$A$123,0)),0),IFERROR(INDEX('06-Precificacao'!$J$4:$J$123,MATCH($A83,'06-Precificacao'!$A$4:$A$123,0)),0))))</f>
        <v/>
      </c>
      <c r="H83" s="15">
        <f>IF(OR($A83="",$C83=""),"",IF($C83&lt;&gt;"Vendida",IFERROR(INDEX('01-Cadastro-Motos'!$I$4:$I$123,MATCH($A83,'01-Cadastro-Motos'!$A$4:$A$123,0)),""),0))</f>
        <v/>
      </c>
      <c r="I83" s="18">
        <f>IF(OR($A83="",$D83=""),"",IF($D83&gt;'00-Parametros'!$C$19,"SIM - ver Pilar 10.4","Não"))</f>
        <v/>
      </c>
    </row>
    <row r="84">
      <c r="A84" s="18">
        <f>IF('01-Cadastro-Motos'!$A84="","",'01-Cadastro-Motos'!$A84)</f>
        <v/>
      </c>
      <c r="B84" s="18">
        <f>IF($A84="","",IFERROR(INDEX('01-Cadastro-Motos'!$B$4:$B$123,MATCH($A84,'01-Cadastro-Motos'!$A$4:$A$123,0)),""))</f>
        <v/>
      </c>
      <c r="C84" s="18">
        <f>IF($A84="","",IFERROR(INDEX('01-Cadastro-Motos'!$K$4:$K$123,MATCH($A84,'01-Cadastro-Motos'!$A$4:$A$123,0)),""))</f>
        <v/>
      </c>
      <c r="D84" s="22">
        <f>IF($A84="","",IFERROR(INDEX('01-Cadastro-Motos'!$P$4:$P$123,MATCH($A84,'01-Cadastro-Motos'!$A$4:$A$123,0)),""))</f>
        <v/>
      </c>
      <c r="E84" s="18">
        <f>IF(OR($A84="",$D84=""),"",IF($D84&lt;='00-Parametros'!$C$17,"Fase 1 - Lançamento (0-30)",IF($D84&lt;='00-Parametros'!$C$18,"Fase 2 - Consolidação (31-60)",IF($D84&lt;='00-Parametros'!$C$19,"Fase 3 - Aceleração de Giro (61-90)","Fase 4 - Estoque Envelhecido (&gt;90)"))))</f>
        <v/>
      </c>
      <c r="F84" s="18">
        <f>IF(OR($A84="",$D84=""),"",IF($D84&lt;='00-Parametros'!$C$20,"Estoque Premium",IF($D84&lt;='00-Parametros'!$C$21,"Estoque Saudável",IF($D84&lt;='00-Parametros'!$C$22,"Estoque Atenção","Estoque Crítico"))))</f>
        <v/>
      </c>
      <c r="G84" s="15">
        <f>IF(OR($A84="",$D84=""),"",IF($D84&lt;='00-Parametros'!$C$17,IFERROR(INDEX('06-Precificacao'!$H$4:$H$123,MATCH($A84,'06-Precificacao'!$A$4:$A$123,0)),0),IF($D84&lt;='00-Parametros'!$C$18,IFERROR(INDEX('06-Precificacao'!$I$4:$I$123,MATCH($A84,'06-Precificacao'!$A$4:$A$123,0)),0),IFERROR(INDEX('06-Precificacao'!$J$4:$J$123,MATCH($A84,'06-Precificacao'!$A$4:$A$123,0)),0))))</f>
        <v/>
      </c>
      <c r="H84" s="15">
        <f>IF(OR($A84="",$C84=""),"",IF($C84&lt;&gt;"Vendida",IFERROR(INDEX('01-Cadastro-Motos'!$I$4:$I$123,MATCH($A84,'01-Cadastro-Motos'!$A$4:$A$123,0)),""),0))</f>
        <v/>
      </c>
      <c r="I84" s="18">
        <f>IF(OR($A84="",$D84=""),"",IF($D84&gt;'00-Parametros'!$C$19,"SIM - ver Pilar 10.4","Não"))</f>
        <v/>
      </c>
    </row>
    <row r="85">
      <c r="A85" s="18">
        <f>IF('01-Cadastro-Motos'!$A85="","",'01-Cadastro-Motos'!$A85)</f>
        <v/>
      </c>
      <c r="B85" s="18">
        <f>IF($A85="","",IFERROR(INDEX('01-Cadastro-Motos'!$B$4:$B$123,MATCH($A85,'01-Cadastro-Motos'!$A$4:$A$123,0)),""))</f>
        <v/>
      </c>
      <c r="C85" s="18">
        <f>IF($A85="","",IFERROR(INDEX('01-Cadastro-Motos'!$K$4:$K$123,MATCH($A85,'01-Cadastro-Motos'!$A$4:$A$123,0)),""))</f>
        <v/>
      </c>
      <c r="D85" s="22">
        <f>IF($A85="","",IFERROR(INDEX('01-Cadastro-Motos'!$P$4:$P$123,MATCH($A85,'01-Cadastro-Motos'!$A$4:$A$123,0)),""))</f>
        <v/>
      </c>
      <c r="E85" s="18">
        <f>IF(OR($A85="",$D85=""),"",IF($D85&lt;='00-Parametros'!$C$17,"Fase 1 - Lançamento (0-30)",IF($D85&lt;='00-Parametros'!$C$18,"Fase 2 - Consolidação (31-60)",IF($D85&lt;='00-Parametros'!$C$19,"Fase 3 - Aceleração de Giro (61-90)","Fase 4 - Estoque Envelhecido (&gt;90)"))))</f>
        <v/>
      </c>
      <c r="F85" s="18">
        <f>IF(OR($A85="",$D85=""),"",IF($D85&lt;='00-Parametros'!$C$20,"Estoque Premium",IF($D85&lt;='00-Parametros'!$C$21,"Estoque Saudável",IF($D85&lt;='00-Parametros'!$C$22,"Estoque Atenção","Estoque Crítico"))))</f>
        <v/>
      </c>
      <c r="G85" s="15">
        <f>IF(OR($A85="",$D85=""),"",IF($D85&lt;='00-Parametros'!$C$17,IFERROR(INDEX('06-Precificacao'!$H$4:$H$123,MATCH($A85,'06-Precificacao'!$A$4:$A$123,0)),0),IF($D85&lt;='00-Parametros'!$C$18,IFERROR(INDEX('06-Precificacao'!$I$4:$I$123,MATCH($A85,'06-Precificacao'!$A$4:$A$123,0)),0),IFERROR(INDEX('06-Precificacao'!$J$4:$J$123,MATCH($A85,'06-Precificacao'!$A$4:$A$123,0)),0))))</f>
        <v/>
      </c>
      <c r="H85" s="15">
        <f>IF(OR($A85="",$C85=""),"",IF($C85&lt;&gt;"Vendida",IFERROR(INDEX('01-Cadastro-Motos'!$I$4:$I$123,MATCH($A85,'01-Cadastro-Motos'!$A$4:$A$123,0)),""),0))</f>
        <v/>
      </c>
      <c r="I85" s="18">
        <f>IF(OR($A85="",$D85=""),"",IF($D85&gt;'00-Parametros'!$C$19,"SIM - ver Pilar 10.4","Não"))</f>
        <v/>
      </c>
    </row>
    <row r="86">
      <c r="A86" s="18">
        <f>IF('01-Cadastro-Motos'!$A86="","",'01-Cadastro-Motos'!$A86)</f>
        <v/>
      </c>
      <c r="B86" s="18">
        <f>IF($A86="","",IFERROR(INDEX('01-Cadastro-Motos'!$B$4:$B$123,MATCH($A86,'01-Cadastro-Motos'!$A$4:$A$123,0)),""))</f>
        <v/>
      </c>
      <c r="C86" s="18">
        <f>IF($A86="","",IFERROR(INDEX('01-Cadastro-Motos'!$K$4:$K$123,MATCH($A86,'01-Cadastro-Motos'!$A$4:$A$123,0)),""))</f>
        <v/>
      </c>
      <c r="D86" s="22">
        <f>IF($A86="","",IFERROR(INDEX('01-Cadastro-Motos'!$P$4:$P$123,MATCH($A86,'01-Cadastro-Motos'!$A$4:$A$123,0)),""))</f>
        <v/>
      </c>
      <c r="E86" s="18">
        <f>IF(OR($A86="",$D86=""),"",IF($D86&lt;='00-Parametros'!$C$17,"Fase 1 - Lançamento (0-30)",IF($D86&lt;='00-Parametros'!$C$18,"Fase 2 - Consolidação (31-60)",IF($D86&lt;='00-Parametros'!$C$19,"Fase 3 - Aceleração de Giro (61-90)","Fase 4 - Estoque Envelhecido (&gt;90)"))))</f>
        <v/>
      </c>
      <c r="F86" s="18">
        <f>IF(OR($A86="",$D86=""),"",IF($D86&lt;='00-Parametros'!$C$20,"Estoque Premium",IF($D86&lt;='00-Parametros'!$C$21,"Estoque Saudável",IF($D86&lt;='00-Parametros'!$C$22,"Estoque Atenção","Estoque Crítico"))))</f>
        <v/>
      </c>
      <c r="G86" s="15">
        <f>IF(OR($A86="",$D86=""),"",IF($D86&lt;='00-Parametros'!$C$17,IFERROR(INDEX('06-Precificacao'!$H$4:$H$123,MATCH($A86,'06-Precificacao'!$A$4:$A$123,0)),0),IF($D86&lt;='00-Parametros'!$C$18,IFERROR(INDEX('06-Precificacao'!$I$4:$I$123,MATCH($A86,'06-Precificacao'!$A$4:$A$123,0)),0),IFERROR(INDEX('06-Precificacao'!$J$4:$J$123,MATCH($A86,'06-Precificacao'!$A$4:$A$123,0)),0))))</f>
        <v/>
      </c>
      <c r="H86" s="15">
        <f>IF(OR($A86="",$C86=""),"",IF($C86&lt;&gt;"Vendida",IFERROR(INDEX('01-Cadastro-Motos'!$I$4:$I$123,MATCH($A86,'01-Cadastro-Motos'!$A$4:$A$123,0)),""),0))</f>
        <v/>
      </c>
      <c r="I86" s="18">
        <f>IF(OR($A86="",$D86=""),"",IF($D86&gt;'00-Parametros'!$C$19,"SIM - ver Pilar 10.4","Não"))</f>
        <v/>
      </c>
    </row>
    <row r="87">
      <c r="A87" s="18">
        <f>IF('01-Cadastro-Motos'!$A87="","",'01-Cadastro-Motos'!$A87)</f>
        <v/>
      </c>
      <c r="B87" s="18">
        <f>IF($A87="","",IFERROR(INDEX('01-Cadastro-Motos'!$B$4:$B$123,MATCH($A87,'01-Cadastro-Motos'!$A$4:$A$123,0)),""))</f>
        <v/>
      </c>
      <c r="C87" s="18">
        <f>IF($A87="","",IFERROR(INDEX('01-Cadastro-Motos'!$K$4:$K$123,MATCH($A87,'01-Cadastro-Motos'!$A$4:$A$123,0)),""))</f>
        <v/>
      </c>
      <c r="D87" s="22">
        <f>IF($A87="","",IFERROR(INDEX('01-Cadastro-Motos'!$P$4:$P$123,MATCH($A87,'01-Cadastro-Motos'!$A$4:$A$123,0)),""))</f>
        <v/>
      </c>
      <c r="E87" s="18">
        <f>IF(OR($A87="",$D87=""),"",IF($D87&lt;='00-Parametros'!$C$17,"Fase 1 - Lançamento (0-30)",IF($D87&lt;='00-Parametros'!$C$18,"Fase 2 - Consolidação (31-60)",IF($D87&lt;='00-Parametros'!$C$19,"Fase 3 - Aceleração de Giro (61-90)","Fase 4 - Estoque Envelhecido (&gt;90)"))))</f>
        <v/>
      </c>
      <c r="F87" s="18">
        <f>IF(OR($A87="",$D87=""),"",IF($D87&lt;='00-Parametros'!$C$20,"Estoque Premium",IF($D87&lt;='00-Parametros'!$C$21,"Estoque Saudável",IF($D87&lt;='00-Parametros'!$C$22,"Estoque Atenção","Estoque Crítico"))))</f>
        <v/>
      </c>
      <c r="G87" s="15">
        <f>IF(OR($A87="",$D87=""),"",IF($D87&lt;='00-Parametros'!$C$17,IFERROR(INDEX('06-Precificacao'!$H$4:$H$123,MATCH($A87,'06-Precificacao'!$A$4:$A$123,0)),0),IF($D87&lt;='00-Parametros'!$C$18,IFERROR(INDEX('06-Precificacao'!$I$4:$I$123,MATCH($A87,'06-Precificacao'!$A$4:$A$123,0)),0),IFERROR(INDEX('06-Precificacao'!$J$4:$J$123,MATCH($A87,'06-Precificacao'!$A$4:$A$123,0)),0))))</f>
        <v/>
      </c>
      <c r="H87" s="15">
        <f>IF(OR($A87="",$C87=""),"",IF($C87&lt;&gt;"Vendida",IFERROR(INDEX('01-Cadastro-Motos'!$I$4:$I$123,MATCH($A87,'01-Cadastro-Motos'!$A$4:$A$123,0)),""),0))</f>
        <v/>
      </c>
      <c r="I87" s="18">
        <f>IF(OR($A87="",$D87=""),"",IF($D87&gt;'00-Parametros'!$C$19,"SIM - ver Pilar 10.4","Não"))</f>
        <v/>
      </c>
    </row>
    <row r="88">
      <c r="A88" s="18">
        <f>IF('01-Cadastro-Motos'!$A88="","",'01-Cadastro-Motos'!$A88)</f>
        <v/>
      </c>
      <c r="B88" s="18">
        <f>IF($A88="","",IFERROR(INDEX('01-Cadastro-Motos'!$B$4:$B$123,MATCH($A88,'01-Cadastro-Motos'!$A$4:$A$123,0)),""))</f>
        <v/>
      </c>
      <c r="C88" s="18">
        <f>IF($A88="","",IFERROR(INDEX('01-Cadastro-Motos'!$K$4:$K$123,MATCH($A88,'01-Cadastro-Motos'!$A$4:$A$123,0)),""))</f>
        <v/>
      </c>
      <c r="D88" s="22">
        <f>IF($A88="","",IFERROR(INDEX('01-Cadastro-Motos'!$P$4:$P$123,MATCH($A88,'01-Cadastro-Motos'!$A$4:$A$123,0)),""))</f>
        <v/>
      </c>
      <c r="E88" s="18">
        <f>IF(OR($A88="",$D88=""),"",IF($D88&lt;='00-Parametros'!$C$17,"Fase 1 - Lançamento (0-30)",IF($D88&lt;='00-Parametros'!$C$18,"Fase 2 - Consolidação (31-60)",IF($D88&lt;='00-Parametros'!$C$19,"Fase 3 - Aceleração de Giro (61-90)","Fase 4 - Estoque Envelhecido (&gt;90)"))))</f>
        <v/>
      </c>
      <c r="F88" s="18">
        <f>IF(OR($A88="",$D88=""),"",IF($D88&lt;='00-Parametros'!$C$20,"Estoque Premium",IF($D88&lt;='00-Parametros'!$C$21,"Estoque Saudável",IF($D88&lt;='00-Parametros'!$C$22,"Estoque Atenção","Estoque Crítico"))))</f>
        <v/>
      </c>
      <c r="G88" s="15">
        <f>IF(OR($A88="",$D88=""),"",IF($D88&lt;='00-Parametros'!$C$17,IFERROR(INDEX('06-Precificacao'!$H$4:$H$123,MATCH($A88,'06-Precificacao'!$A$4:$A$123,0)),0),IF($D88&lt;='00-Parametros'!$C$18,IFERROR(INDEX('06-Precificacao'!$I$4:$I$123,MATCH($A88,'06-Precificacao'!$A$4:$A$123,0)),0),IFERROR(INDEX('06-Precificacao'!$J$4:$J$123,MATCH($A88,'06-Precificacao'!$A$4:$A$123,0)),0))))</f>
        <v/>
      </c>
      <c r="H88" s="15">
        <f>IF(OR($A88="",$C88=""),"",IF($C88&lt;&gt;"Vendida",IFERROR(INDEX('01-Cadastro-Motos'!$I$4:$I$123,MATCH($A88,'01-Cadastro-Motos'!$A$4:$A$123,0)),""),0))</f>
        <v/>
      </c>
      <c r="I88" s="18">
        <f>IF(OR($A88="",$D88=""),"",IF($D88&gt;'00-Parametros'!$C$19,"SIM - ver Pilar 10.4","Não"))</f>
        <v/>
      </c>
    </row>
    <row r="89">
      <c r="A89" s="18">
        <f>IF('01-Cadastro-Motos'!$A89="","",'01-Cadastro-Motos'!$A89)</f>
        <v/>
      </c>
      <c r="B89" s="18">
        <f>IF($A89="","",IFERROR(INDEX('01-Cadastro-Motos'!$B$4:$B$123,MATCH($A89,'01-Cadastro-Motos'!$A$4:$A$123,0)),""))</f>
        <v/>
      </c>
      <c r="C89" s="18">
        <f>IF($A89="","",IFERROR(INDEX('01-Cadastro-Motos'!$K$4:$K$123,MATCH($A89,'01-Cadastro-Motos'!$A$4:$A$123,0)),""))</f>
        <v/>
      </c>
      <c r="D89" s="22">
        <f>IF($A89="","",IFERROR(INDEX('01-Cadastro-Motos'!$P$4:$P$123,MATCH($A89,'01-Cadastro-Motos'!$A$4:$A$123,0)),""))</f>
        <v/>
      </c>
      <c r="E89" s="18">
        <f>IF(OR($A89="",$D89=""),"",IF($D89&lt;='00-Parametros'!$C$17,"Fase 1 - Lançamento (0-30)",IF($D89&lt;='00-Parametros'!$C$18,"Fase 2 - Consolidação (31-60)",IF($D89&lt;='00-Parametros'!$C$19,"Fase 3 - Aceleração de Giro (61-90)","Fase 4 - Estoque Envelhecido (&gt;90)"))))</f>
        <v/>
      </c>
      <c r="F89" s="18">
        <f>IF(OR($A89="",$D89=""),"",IF($D89&lt;='00-Parametros'!$C$20,"Estoque Premium",IF($D89&lt;='00-Parametros'!$C$21,"Estoque Saudável",IF($D89&lt;='00-Parametros'!$C$22,"Estoque Atenção","Estoque Crítico"))))</f>
        <v/>
      </c>
      <c r="G89" s="15">
        <f>IF(OR($A89="",$D89=""),"",IF($D89&lt;='00-Parametros'!$C$17,IFERROR(INDEX('06-Precificacao'!$H$4:$H$123,MATCH($A89,'06-Precificacao'!$A$4:$A$123,0)),0),IF($D89&lt;='00-Parametros'!$C$18,IFERROR(INDEX('06-Precificacao'!$I$4:$I$123,MATCH($A89,'06-Precificacao'!$A$4:$A$123,0)),0),IFERROR(INDEX('06-Precificacao'!$J$4:$J$123,MATCH($A89,'06-Precificacao'!$A$4:$A$123,0)),0))))</f>
        <v/>
      </c>
      <c r="H89" s="15">
        <f>IF(OR($A89="",$C89=""),"",IF($C89&lt;&gt;"Vendida",IFERROR(INDEX('01-Cadastro-Motos'!$I$4:$I$123,MATCH($A89,'01-Cadastro-Motos'!$A$4:$A$123,0)),""),0))</f>
        <v/>
      </c>
      <c r="I89" s="18">
        <f>IF(OR($A89="",$D89=""),"",IF($D89&gt;'00-Parametros'!$C$19,"SIM - ver Pilar 10.4","Não"))</f>
        <v/>
      </c>
    </row>
    <row r="90">
      <c r="A90" s="18">
        <f>IF('01-Cadastro-Motos'!$A90="","",'01-Cadastro-Motos'!$A90)</f>
        <v/>
      </c>
      <c r="B90" s="18">
        <f>IF($A90="","",IFERROR(INDEX('01-Cadastro-Motos'!$B$4:$B$123,MATCH($A90,'01-Cadastro-Motos'!$A$4:$A$123,0)),""))</f>
        <v/>
      </c>
      <c r="C90" s="18">
        <f>IF($A90="","",IFERROR(INDEX('01-Cadastro-Motos'!$K$4:$K$123,MATCH($A90,'01-Cadastro-Motos'!$A$4:$A$123,0)),""))</f>
        <v/>
      </c>
      <c r="D90" s="22">
        <f>IF($A90="","",IFERROR(INDEX('01-Cadastro-Motos'!$P$4:$P$123,MATCH($A90,'01-Cadastro-Motos'!$A$4:$A$123,0)),""))</f>
        <v/>
      </c>
      <c r="E90" s="18">
        <f>IF(OR($A90="",$D90=""),"",IF($D90&lt;='00-Parametros'!$C$17,"Fase 1 - Lançamento (0-30)",IF($D90&lt;='00-Parametros'!$C$18,"Fase 2 - Consolidação (31-60)",IF($D90&lt;='00-Parametros'!$C$19,"Fase 3 - Aceleração de Giro (61-90)","Fase 4 - Estoque Envelhecido (&gt;90)"))))</f>
        <v/>
      </c>
      <c r="F90" s="18">
        <f>IF(OR($A90="",$D90=""),"",IF($D90&lt;='00-Parametros'!$C$20,"Estoque Premium",IF($D90&lt;='00-Parametros'!$C$21,"Estoque Saudável",IF($D90&lt;='00-Parametros'!$C$22,"Estoque Atenção","Estoque Crítico"))))</f>
        <v/>
      </c>
      <c r="G90" s="15">
        <f>IF(OR($A90="",$D90=""),"",IF($D90&lt;='00-Parametros'!$C$17,IFERROR(INDEX('06-Precificacao'!$H$4:$H$123,MATCH($A90,'06-Precificacao'!$A$4:$A$123,0)),0),IF($D90&lt;='00-Parametros'!$C$18,IFERROR(INDEX('06-Precificacao'!$I$4:$I$123,MATCH($A90,'06-Precificacao'!$A$4:$A$123,0)),0),IFERROR(INDEX('06-Precificacao'!$J$4:$J$123,MATCH($A90,'06-Precificacao'!$A$4:$A$123,0)),0))))</f>
        <v/>
      </c>
      <c r="H90" s="15">
        <f>IF(OR($A90="",$C90=""),"",IF($C90&lt;&gt;"Vendida",IFERROR(INDEX('01-Cadastro-Motos'!$I$4:$I$123,MATCH($A90,'01-Cadastro-Motos'!$A$4:$A$123,0)),""),0))</f>
        <v/>
      </c>
      <c r="I90" s="18">
        <f>IF(OR($A90="",$D90=""),"",IF($D90&gt;'00-Parametros'!$C$19,"SIM - ver Pilar 10.4","Não"))</f>
        <v/>
      </c>
    </row>
    <row r="91">
      <c r="A91" s="18">
        <f>IF('01-Cadastro-Motos'!$A91="","",'01-Cadastro-Motos'!$A91)</f>
        <v/>
      </c>
      <c r="B91" s="18">
        <f>IF($A91="","",IFERROR(INDEX('01-Cadastro-Motos'!$B$4:$B$123,MATCH($A91,'01-Cadastro-Motos'!$A$4:$A$123,0)),""))</f>
        <v/>
      </c>
      <c r="C91" s="18">
        <f>IF($A91="","",IFERROR(INDEX('01-Cadastro-Motos'!$K$4:$K$123,MATCH($A91,'01-Cadastro-Motos'!$A$4:$A$123,0)),""))</f>
        <v/>
      </c>
      <c r="D91" s="22">
        <f>IF($A91="","",IFERROR(INDEX('01-Cadastro-Motos'!$P$4:$P$123,MATCH($A91,'01-Cadastro-Motos'!$A$4:$A$123,0)),""))</f>
        <v/>
      </c>
      <c r="E91" s="18">
        <f>IF(OR($A91="",$D91=""),"",IF($D91&lt;='00-Parametros'!$C$17,"Fase 1 - Lançamento (0-30)",IF($D91&lt;='00-Parametros'!$C$18,"Fase 2 - Consolidação (31-60)",IF($D91&lt;='00-Parametros'!$C$19,"Fase 3 - Aceleração de Giro (61-90)","Fase 4 - Estoque Envelhecido (&gt;90)"))))</f>
        <v/>
      </c>
      <c r="F91" s="18">
        <f>IF(OR($A91="",$D91=""),"",IF($D91&lt;='00-Parametros'!$C$20,"Estoque Premium",IF($D91&lt;='00-Parametros'!$C$21,"Estoque Saudável",IF($D91&lt;='00-Parametros'!$C$22,"Estoque Atenção","Estoque Crítico"))))</f>
        <v/>
      </c>
      <c r="G91" s="15">
        <f>IF(OR($A91="",$D91=""),"",IF($D91&lt;='00-Parametros'!$C$17,IFERROR(INDEX('06-Precificacao'!$H$4:$H$123,MATCH($A91,'06-Precificacao'!$A$4:$A$123,0)),0),IF($D91&lt;='00-Parametros'!$C$18,IFERROR(INDEX('06-Precificacao'!$I$4:$I$123,MATCH($A91,'06-Precificacao'!$A$4:$A$123,0)),0),IFERROR(INDEX('06-Precificacao'!$J$4:$J$123,MATCH($A91,'06-Precificacao'!$A$4:$A$123,0)),0))))</f>
        <v/>
      </c>
      <c r="H91" s="15">
        <f>IF(OR($A91="",$C91=""),"",IF($C91&lt;&gt;"Vendida",IFERROR(INDEX('01-Cadastro-Motos'!$I$4:$I$123,MATCH($A91,'01-Cadastro-Motos'!$A$4:$A$123,0)),""),0))</f>
        <v/>
      </c>
      <c r="I91" s="18">
        <f>IF(OR($A91="",$D91=""),"",IF($D91&gt;'00-Parametros'!$C$19,"SIM - ver Pilar 10.4","Não"))</f>
        <v/>
      </c>
    </row>
    <row r="92">
      <c r="A92" s="18">
        <f>IF('01-Cadastro-Motos'!$A92="","",'01-Cadastro-Motos'!$A92)</f>
        <v/>
      </c>
      <c r="B92" s="18">
        <f>IF($A92="","",IFERROR(INDEX('01-Cadastro-Motos'!$B$4:$B$123,MATCH($A92,'01-Cadastro-Motos'!$A$4:$A$123,0)),""))</f>
        <v/>
      </c>
      <c r="C92" s="18">
        <f>IF($A92="","",IFERROR(INDEX('01-Cadastro-Motos'!$K$4:$K$123,MATCH($A92,'01-Cadastro-Motos'!$A$4:$A$123,0)),""))</f>
        <v/>
      </c>
      <c r="D92" s="22">
        <f>IF($A92="","",IFERROR(INDEX('01-Cadastro-Motos'!$P$4:$P$123,MATCH($A92,'01-Cadastro-Motos'!$A$4:$A$123,0)),""))</f>
        <v/>
      </c>
      <c r="E92" s="18">
        <f>IF(OR($A92="",$D92=""),"",IF($D92&lt;='00-Parametros'!$C$17,"Fase 1 - Lançamento (0-30)",IF($D92&lt;='00-Parametros'!$C$18,"Fase 2 - Consolidação (31-60)",IF($D92&lt;='00-Parametros'!$C$19,"Fase 3 - Aceleração de Giro (61-90)","Fase 4 - Estoque Envelhecido (&gt;90)"))))</f>
        <v/>
      </c>
      <c r="F92" s="18">
        <f>IF(OR($A92="",$D92=""),"",IF($D92&lt;='00-Parametros'!$C$20,"Estoque Premium",IF($D92&lt;='00-Parametros'!$C$21,"Estoque Saudável",IF($D92&lt;='00-Parametros'!$C$22,"Estoque Atenção","Estoque Crítico"))))</f>
        <v/>
      </c>
      <c r="G92" s="15">
        <f>IF(OR($A92="",$D92=""),"",IF($D92&lt;='00-Parametros'!$C$17,IFERROR(INDEX('06-Precificacao'!$H$4:$H$123,MATCH($A92,'06-Precificacao'!$A$4:$A$123,0)),0),IF($D92&lt;='00-Parametros'!$C$18,IFERROR(INDEX('06-Precificacao'!$I$4:$I$123,MATCH($A92,'06-Precificacao'!$A$4:$A$123,0)),0),IFERROR(INDEX('06-Precificacao'!$J$4:$J$123,MATCH($A92,'06-Precificacao'!$A$4:$A$123,0)),0))))</f>
        <v/>
      </c>
      <c r="H92" s="15">
        <f>IF(OR($A92="",$C92=""),"",IF($C92&lt;&gt;"Vendida",IFERROR(INDEX('01-Cadastro-Motos'!$I$4:$I$123,MATCH($A92,'01-Cadastro-Motos'!$A$4:$A$123,0)),""),0))</f>
        <v/>
      </c>
      <c r="I92" s="18">
        <f>IF(OR($A92="",$D92=""),"",IF($D92&gt;'00-Parametros'!$C$19,"SIM - ver Pilar 10.4","Não"))</f>
        <v/>
      </c>
    </row>
    <row r="93">
      <c r="A93" s="18">
        <f>IF('01-Cadastro-Motos'!$A93="","",'01-Cadastro-Motos'!$A93)</f>
        <v/>
      </c>
      <c r="B93" s="18">
        <f>IF($A93="","",IFERROR(INDEX('01-Cadastro-Motos'!$B$4:$B$123,MATCH($A93,'01-Cadastro-Motos'!$A$4:$A$123,0)),""))</f>
        <v/>
      </c>
      <c r="C93" s="18">
        <f>IF($A93="","",IFERROR(INDEX('01-Cadastro-Motos'!$K$4:$K$123,MATCH($A93,'01-Cadastro-Motos'!$A$4:$A$123,0)),""))</f>
        <v/>
      </c>
      <c r="D93" s="22">
        <f>IF($A93="","",IFERROR(INDEX('01-Cadastro-Motos'!$P$4:$P$123,MATCH($A93,'01-Cadastro-Motos'!$A$4:$A$123,0)),""))</f>
        <v/>
      </c>
      <c r="E93" s="18">
        <f>IF(OR($A93="",$D93=""),"",IF($D93&lt;='00-Parametros'!$C$17,"Fase 1 - Lançamento (0-30)",IF($D93&lt;='00-Parametros'!$C$18,"Fase 2 - Consolidação (31-60)",IF($D93&lt;='00-Parametros'!$C$19,"Fase 3 - Aceleração de Giro (61-90)","Fase 4 - Estoque Envelhecido (&gt;90)"))))</f>
        <v/>
      </c>
      <c r="F93" s="18">
        <f>IF(OR($A93="",$D93=""),"",IF($D93&lt;='00-Parametros'!$C$20,"Estoque Premium",IF($D93&lt;='00-Parametros'!$C$21,"Estoque Saudável",IF($D93&lt;='00-Parametros'!$C$22,"Estoque Atenção","Estoque Crítico"))))</f>
        <v/>
      </c>
      <c r="G93" s="15">
        <f>IF(OR($A93="",$D93=""),"",IF($D93&lt;='00-Parametros'!$C$17,IFERROR(INDEX('06-Precificacao'!$H$4:$H$123,MATCH($A93,'06-Precificacao'!$A$4:$A$123,0)),0),IF($D93&lt;='00-Parametros'!$C$18,IFERROR(INDEX('06-Precificacao'!$I$4:$I$123,MATCH($A93,'06-Precificacao'!$A$4:$A$123,0)),0),IFERROR(INDEX('06-Precificacao'!$J$4:$J$123,MATCH($A93,'06-Precificacao'!$A$4:$A$123,0)),0))))</f>
        <v/>
      </c>
      <c r="H93" s="15">
        <f>IF(OR($A93="",$C93=""),"",IF($C93&lt;&gt;"Vendida",IFERROR(INDEX('01-Cadastro-Motos'!$I$4:$I$123,MATCH($A93,'01-Cadastro-Motos'!$A$4:$A$123,0)),""),0))</f>
        <v/>
      </c>
      <c r="I93" s="18">
        <f>IF(OR($A93="",$D93=""),"",IF($D93&gt;'00-Parametros'!$C$19,"SIM - ver Pilar 10.4","Não"))</f>
        <v/>
      </c>
    </row>
    <row r="94">
      <c r="A94" s="18">
        <f>IF('01-Cadastro-Motos'!$A94="","",'01-Cadastro-Motos'!$A94)</f>
        <v/>
      </c>
      <c r="B94" s="18">
        <f>IF($A94="","",IFERROR(INDEX('01-Cadastro-Motos'!$B$4:$B$123,MATCH($A94,'01-Cadastro-Motos'!$A$4:$A$123,0)),""))</f>
        <v/>
      </c>
      <c r="C94" s="18">
        <f>IF($A94="","",IFERROR(INDEX('01-Cadastro-Motos'!$K$4:$K$123,MATCH($A94,'01-Cadastro-Motos'!$A$4:$A$123,0)),""))</f>
        <v/>
      </c>
      <c r="D94" s="22">
        <f>IF($A94="","",IFERROR(INDEX('01-Cadastro-Motos'!$P$4:$P$123,MATCH($A94,'01-Cadastro-Motos'!$A$4:$A$123,0)),""))</f>
        <v/>
      </c>
      <c r="E94" s="18">
        <f>IF(OR($A94="",$D94=""),"",IF($D94&lt;='00-Parametros'!$C$17,"Fase 1 - Lançamento (0-30)",IF($D94&lt;='00-Parametros'!$C$18,"Fase 2 - Consolidação (31-60)",IF($D94&lt;='00-Parametros'!$C$19,"Fase 3 - Aceleração de Giro (61-90)","Fase 4 - Estoque Envelhecido (&gt;90)"))))</f>
        <v/>
      </c>
      <c r="F94" s="18">
        <f>IF(OR($A94="",$D94=""),"",IF($D94&lt;='00-Parametros'!$C$20,"Estoque Premium",IF($D94&lt;='00-Parametros'!$C$21,"Estoque Saudável",IF($D94&lt;='00-Parametros'!$C$22,"Estoque Atenção","Estoque Crítico"))))</f>
        <v/>
      </c>
      <c r="G94" s="15">
        <f>IF(OR($A94="",$D94=""),"",IF($D94&lt;='00-Parametros'!$C$17,IFERROR(INDEX('06-Precificacao'!$H$4:$H$123,MATCH($A94,'06-Precificacao'!$A$4:$A$123,0)),0),IF($D94&lt;='00-Parametros'!$C$18,IFERROR(INDEX('06-Precificacao'!$I$4:$I$123,MATCH($A94,'06-Precificacao'!$A$4:$A$123,0)),0),IFERROR(INDEX('06-Precificacao'!$J$4:$J$123,MATCH($A94,'06-Precificacao'!$A$4:$A$123,0)),0))))</f>
        <v/>
      </c>
      <c r="H94" s="15">
        <f>IF(OR($A94="",$C94=""),"",IF($C94&lt;&gt;"Vendida",IFERROR(INDEX('01-Cadastro-Motos'!$I$4:$I$123,MATCH($A94,'01-Cadastro-Motos'!$A$4:$A$123,0)),""),0))</f>
        <v/>
      </c>
      <c r="I94" s="18">
        <f>IF(OR($A94="",$D94=""),"",IF($D94&gt;'00-Parametros'!$C$19,"SIM - ver Pilar 10.4","Não"))</f>
        <v/>
      </c>
    </row>
    <row r="95">
      <c r="A95" s="18">
        <f>IF('01-Cadastro-Motos'!$A95="","",'01-Cadastro-Motos'!$A95)</f>
        <v/>
      </c>
      <c r="B95" s="18">
        <f>IF($A95="","",IFERROR(INDEX('01-Cadastro-Motos'!$B$4:$B$123,MATCH($A95,'01-Cadastro-Motos'!$A$4:$A$123,0)),""))</f>
        <v/>
      </c>
      <c r="C95" s="18">
        <f>IF($A95="","",IFERROR(INDEX('01-Cadastro-Motos'!$K$4:$K$123,MATCH($A95,'01-Cadastro-Motos'!$A$4:$A$123,0)),""))</f>
        <v/>
      </c>
      <c r="D95" s="22">
        <f>IF($A95="","",IFERROR(INDEX('01-Cadastro-Motos'!$P$4:$P$123,MATCH($A95,'01-Cadastro-Motos'!$A$4:$A$123,0)),""))</f>
        <v/>
      </c>
      <c r="E95" s="18">
        <f>IF(OR($A95="",$D95=""),"",IF($D95&lt;='00-Parametros'!$C$17,"Fase 1 - Lançamento (0-30)",IF($D95&lt;='00-Parametros'!$C$18,"Fase 2 - Consolidação (31-60)",IF($D95&lt;='00-Parametros'!$C$19,"Fase 3 - Aceleração de Giro (61-90)","Fase 4 - Estoque Envelhecido (&gt;90)"))))</f>
        <v/>
      </c>
      <c r="F95" s="18">
        <f>IF(OR($A95="",$D95=""),"",IF($D95&lt;='00-Parametros'!$C$20,"Estoque Premium",IF($D95&lt;='00-Parametros'!$C$21,"Estoque Saudável",IF($D95&lt;='00-Parametros'!$C$22,"Estoque Atenção","Estoque Crítico"))))</f>
        <v/>
      </c>
      <c r="G95" s="15">
        <f>IF(OR($A95="",$D95=""),"",IF($D95&lt;='00-Parametros'!$C$17,IFERROR(INDEX('06-Precificacao'!$H$4:$H$123,MATCH($A95,'06-Precificacao'!$A$4:$A$123,0)),0),IF($D95&lt;='00-Parametros'!$C$18,IFERROR(INDEX('06-Precificacao'!$I$4:$I$123,MATCH($A95,'06-Precificacao'!$A$4:$A$123,0)),0),IFERROR(INDEX('06-Precificacao'!$J$4:$J$123,MATCH($A95,'06-Precificacao'!$A$4:$A$123,0)),0))))</f>
        <v/>
      </c>
      <c r="H95" s="15">
        <f>IF(OR($A95="",$C95=""),"",IF($C95&lt;&gt;"Vendida",IFERROR(INDEX('01-Cadastro-Motos'!$I$4:$I$123,MATCH($A95,'01-Cadastro-Motos'!$A$4:$A$123,0)),""),0))</f>
        <v/>
      </c>
      <c r="I95" s="18">
        <f>IF(OR($A95="",$D95=""),"",IF($D95&gt;'00-Parametros'!$C$19,"SIM - ver Pilar 10.4","Não"))</f>
        <v/>
      </c>
    </row>
    <row r="96">
      <c r="A96" s="18">
        <f>IF('01-Cadastro-Motos'!$A96="","",'01-Cadastro-Motos'!$A96)</f>
        <v/>
      </c>
      <c r="B96" s="18">
        <f>IF($A96="","",IFERROR(INDEX('01-Cadastro-Motos'!$B$4:$B$123,MATCH($A96,'01-Cadastro-Motos'!$A$4:$A$123,0)),""))</f>
        <v/>
      </c>
      <c r="C96" s="18">
        <f>IF($A96="","",IFERROR(INDEX('01-Cadastro-Motos'!$K$4:$K$123,MATCH($A96,'01-Cadastro-Motos'!$A$4:$A$123,0)),""))</f>
        <v/>
      </c>
      <c r="D96" s="22">
        <f>IF($A96="","",IFERROR(INDEX('01-Cadastro-Motos'!$P$4:$P$123,MATCH($A96,'01-Cadastro-Motos'!$A$4:$A$123,0)),""))</f>
        <v/>
      </c>
      <c r="E96" s="18">
        <f>IF(OR($A96="",$D96=""),"",IF($D96&lt;='00-Parametros'!$C$17,"Fase 1 - Lançamento (0-30)",IF($D96&lt;='00-Parametros'!$C$18,"Fase 2 - Consolidação (31-60)",IF($D96&lt;='00-Parametros'!$C$19,"Fase 3 - Aceleração de Giro (61-90)","Fase 4 - Estoque Envelhecido (&gt;90)"))))</f>
        <v/>
      </c>
      <c r="F96" s="18">
        <f>IF(OR($A96="",$D96=""),"",IF($D96&lt;='00-Parametros'!$C$20,"Estoque Premium",IF($D96&lt;='00-Parametros'!$C$21,"Estoque Saudável",IF($D96&lt;='00-Parametros'!$C$22,"Estoque Atenção","Estoque Crítico"))))</f>
        <v/>
      </c>
      <c r="G96" s="15">
        <f>IF(OR($A96="",$D96=""),"",IF($D96&lt;='00-Parametros'!$C$17,IFERROR(INDEX('06-Precificacao'!$H$4:$H$123,MATCH($A96,'06-Precificacao'!$A$4:$A$123,0)),0),IF($D96&lt;='00-Parametros'!$C$18,IFERROR(INDEX('06-Precificacao'!$I$4:$I$123,MATCH($A96,'06-Precificacao'!$A$4:$A$123,0)),0),IFERROR(INDEX('06-Precificacao'!$J$4:$J$123,MATCH($A96,'06-Precificacao'!$A$4:$A$123,0)),0))))</f>
        <v/>
      </c>
      <c r="H96" s="15">
        <f>IF(OR($A96="",$C96=""),"",IF($C96&lt;&gt;"Vendida",IFERROR(INDEX('01-Cadastro-Motos'!$I$4:$I$123,MATCH($A96,'01-Cadastro-Motos'!$A$4:$A$123,0)),""),0))</f>
        <v/>
      </c>
      <c r="I96" s="18">
        <f>IF(OR($A96="",$D96=""),"",IF($D96&gt;'00-Parametros'!$C$19,"SIM - ver Pilar 10.4","Não"))</f>
        <v/>
      </c>
    </row>
    <row r="97">
      <c r="A97" s="18">
        <f>IF('01-Cadastro-Motos'!$A97="","",'01-Cadastro-Motos'!$A97)</f>
        <v/>
      </c>
      <c r="B97" s="18">
        <f>IF($A97="","",IFERROR(INDEX('01-Cadastro-Motos'!$B$4:$B$123,MATCH($A97,'01-Cadastro-Motos'!$A$4:$A$123,0)),""))</f>
        <v/>
      </c>
      <c r="C97" s="18">
        <f>IF($A97="","",IFERROR(INDEX('01-Cadastro-Motos'!$K$4:$K$123,MATCH($A97,'01-Cadastro-Motos'!$A$4:$A$123,0)),""))</f>
        <v/>
      </c>
      <c r="D97" s="22">
        <f>IF($A97="","",IFERROR(INDEX('01-Cadastro-Motos'!$P$4:$P$123,MATCH($A97,'01-Cadastro-Motos'!$A$4:$A$123,0)),""))</f>
        <v/>
      </c>
      <c r="E97" s="18">
        <f>IF(OR($A97="",$D97=""),"",IF($D97&lt;='00-Parametros'!$C$17,"Fase 1 - Lançamento (0-30)",IF($D97&lt;='00-Parametros'!$C$18,"Fase 2 - Consolidação (31-60)",IF($D97&lt;='00-Parametros'!$C$19,"Fase 3 - Aceleração de Giro (61-90)","Fase 4 - Estoque Envelhecido (&gt;90)"))))</f>
        <v/>
      </c>
      <c r="F97" s="18">
        <f>IF(OR($A97="",$D97=""),"",IF($D97&lt;='00-Parametros'!$C$20,"Estoque Premium",IF($D97&lt;='00-Parametros'!$C$21,"Estoque Saudável",IF($D97&lt;='00-Parametros'!$C$22,"Estoque Atenção","Estoque Crítico"))))</f>
        <v/>
      </c>
      <c r="G97" s="15">
        <f>IF(OR($A97="",$D97=""),"",IF($D97&lt;='00-Parametros'!$C$17,IFERROR(INDEX('06-Precificacao'!$H$4:$H$123,MATCH($A97,'06-Precificacao'!$A$4:$A$123,0)),0),IF($D97&lt;='00-Parametros'!$C$18,IFERROR(INDEX('06-Precificacao'!$I$4:$I$123,MATCH($A97,'06-Precificacao'!$A$4:$A$123,0)),0),IFERROR(INDEX('06-Precificacao'!$J$4:$J$123,MATCH($A97,'06-Precificacao'!$A$4:$A$123,0)),0))))</f>
        <v/>
      </c>
      <c r="H97" s="15">
        <f>IF(OR($A97="",$C97=""),"",IF($C97&lt;&gt;"Vendida",IFERROR(INDEX('01-Cadastro-Motos'!$I$4:$I$123,MATCH($A97,'01-Cadastro-Motos'!$A$4:$A$123,0)),""),0))</f>
        <v/>
      </c>
      <c r="I97" s="18">
        <f>IF(OR($A97="",$D97=""),"",IF($D97&gt;'00-Parametros'!$C$19,"SIM - ver Pilar 10.4","Não"))</f>
        <v/>
      </c>
    </row>
    <row r="98">
      <c r="A98" s="18">
        <f>IF('01-Cadastro-Motos'!$A98="","",'01-Cadastro-Motos'!$A98)</f>
        <v/>
      </c>
      <c r="B98" s="18">
        <f>IF($A98="","",IFERROR(INDEX('01-Cadastro-Motos'!$B$4:$B$123,MATCH($A98,'01-Cadastro-Motos'!$A$4:$A$123,0)),""))</f>
        <v/>
      </c>
      <c r="C98" s="18">
        <f>IF($A98="","",IFERROR(INDEX('01-Cadastro-Motos'!$K$4:$K$123,MATCH($A98,'01-Cadastro-Motos'!$A$4:$A$123,0)),""))</f>
        <v/>
      </c>
      <c r="D98" s="22">
        <f>IF($A98="","",IFERROR(INDEX('01-Cadastro-Motos'!$P$4:$P$123,MATCH($A98,'01-Cadastro-Motos'!$A$4:$A$123,0)),""))</f>
        <v/>
      </c>
      <c r="E98" s="18">
        <f>IF(OR($A98="",$D98=""),"",IF($D98&lt;='00-Parametros'!$C$17,"Fase 1 - Lançamento (0-30)",IF($D98&lt;='00-Parametros'!$C$18,"Fase 2 - Consolidação (31-60)",IF($D98&lt;='00-Parametros'!$C$19,"Fase 3 - Aceleração de Giro (61-90)","Fase 4 - Estoque Envelhecido (&gt;90)"))))</f>
        <v/>
      </c>
      <c r="F98" s="18">
        <f>IF(OR($A98="",$D98=""),"",IF($D98&lt;='00-Parametros'!$C$20,"Estoque Premium",IF($D98&lt;='00-Parametros'!$C$21,"Estoque Saudável",IF($D98&lt;='00-Parametros'!$C$22,"Estoque Atenção","Estoque Crítico"))))</f>
        <v/>
      </c>
      <c r="G98" s="15">
        <f>IF(OR($A98="",$D98=""),"",IF($D98&lt;='00-Parametros'!$C$17,IFERROR(INDEX('06-Precificacao'!$H$4:$H$123,MATCH($A98,'06-Precificacao'!$A$4:$A$123,0)),0),IF($D98&lt;='00-Parametros'!$C$18,IFERROR(INDEX('06-Precificacao'!$I$4:$I$123,MATCH($A98,'06-Precificacao'!$A$4:$A$123,0)),0),IFERROR(INDEX('06-Precificacao'!$J$4:$J$123,MATCH($A98,'06-Precificacao'!$A$4:$A$123,0)),0))))</f>
        <v/>
      </c>
      <c r="H98" s="15">
        <f>IF(OR($A98="",$C98=""),"",IF($C98&lt;&gt;"Vendida",IFERROR(INDEX('01-Cadastro-Motos'!$I$4:$I$123,MATCH($A98,'01-Cadastro-Motos'!$A$4:$A$123,0)),""),0))</f>
        <v/>
      </c>
      <c r="I98" s="18">
        <f>IF(OR($A98="",$D98=""),"",IF($D98&gt;'00-Parametros'!$C$19,"SIM - ver Pilar 10.4","Não"))</f>
        <v/>
      </c>
    </row>
    <row r="99">
      <c r="A99" s="18">
        <f>IF('01-Cadastro-Motos'!$A99="","",'01-Cadastro-Motos'!$A99)</f>
        <v/>
      </c>
      <c r="B99" s="18">
        <f>IF($A99="","",IFERROR(INDEX('01-Cadastro-Motos'!$B$4:$B$123,MATCH($A99,'01-Cadastro-Motos'!$A$4:$A$123,0)),""))</f>
        <v/>
      </c>
      <c r="C99" s="18">
        <f>IF($A99="","",IFERROR(INDEX('01-Cadastro-Motos'!$K$4:$K$123,MATCH($A99,'01-Cadastro-Motos'!$A$4:$A$123,0)),""))</f>
        <v/>
      </c>
      <c r="D99" s="22">
        <f>IF($A99="","",IFERROR(INDEX('01-Cadastro-Motos'!$P$4:$P$123,MATCH($A99,'01-Cadastro-Motos'!$A$4:$A$123,0)),""))</f>
        <v/>
      </c>
      <c r="E99" s="18">
        <f>IF(OR($A99="",$D99=""),"",IF($D99&lt;='00-Parametros'!$C$17,"Fase 1 - Lançamento (0-30)",IF($D99&lt;='00-Parametros'!$C$18,"Fase 2 - Consolidação (31-60)",IF($D99&lt;='00-Parametros'!$C$19,"Fase 3 - Aceleração de Giro (61-90)","Fase 4 - Estoque Envelhecido (&gt;90)"))))</f>
        <v/>
      </c>
      <c r="F99" s="18">
        <f>IF(OR($A99="",$D99=""),"",IF($D99&lt;='00-Parametros'!$C$20,"Estoque Premium",IF($D99&lt;='00-Parametros'!$C$21,"Estoque Saudável",IF($D99&lt;='00-Parametros'!$C$22,"Estoque Atenção","Estoque Crítico"))))</f>
        <v/>
      </c>
      <c r="G99" s="15">
        <f>IF(OR($A99="",$D99=""),"",IF($D99&lt;='00-Parametros'!$C$17,IFERROR(INDEX('06-Precificacao'!$H$4:$H$123,MATCH($A99,'06-Precificacao'!$A$4:$A$123,0)),0),IF($D99&lt;='00-Parametros'!$C$18,IFERROR(INDEX('06-Precificacao'!$I$4:$I$123,MATCH($A99,'06-Precificacao'!$A$4:$A$123,0)),0),IFERROR(INDEX('06-Precificacao'!$J$4:$J$123,MATCH($A99,'06-Precificacao'!$A$4:$A$123,0)),0))))</f>
        <v/>
      </c>
      <c r="H99" s="15">
        <f>IF(OR($A99="",$C99=""),"",IF($C99&lt;&gt;"Vendida",IFERROR(INDEX('01-Cadastro-Motos'!$I$4:$I$123,MATCH($A99,'01-Cadastro-Motos'!$A$4:$A$123,0)),""),0))</f>
        <v/>
      </c>
      <c r="I99" s="18">
        <f>IF(OR($A99="",$D99=""),"",IF($D99&gt;'00-Parametros'!$C$19,"SIM - ver Pilar 10.4","Não"))</f>
        <v/>
      </c>
    </row>
    <row r="100">
      <c r="A100" s="18">
        <f>IF('01-Cadastro-Motos'!$A100="","",'01-Cadastro-Motos'!$A100)</f>
        <v/>
      </c>
      <c r="B100" s="18">
        <f>IF($A100="","",IFERROR(INDEX('01-Cadastro-Motos'!$B$4:$B$123,MATCH($A100,'01-Cadastro-Motos'!$A$4:$A$123,0)),""))</f>
        <v/>
      </c>
      <c r="C100" s="18">
        <f>IF($A100="","",IFERROR(INDEX('01-Cadastro-Motos'!$K$4:$K$123,MATCH($A100,'01-Cadastro-Motos'!$A$4:$A$123,0)),""))</f>
        <v/>
      </c>
      <c r="D100" s="22">
        <f>IF($A100="","",IFERROR(INDEX('01-Cadastro-Motos'!$P$4:$P$123,MATCH($A100,'01-Cadastro-Motos'!$A$4:$A$123,0)),""))</f>
        <v/>
      </c>
      <c r="E100" s="18">
        <f>IF(OR($A100="",$D100=""),"",IF($D100&lt;='00-Parametros'!$C$17,"Fase 1 - Lançamento (0-30)",IF($D100&lt;='00-Parametros'!$C$18,"Fase 2 - Consolidação (31-60)",IF($D100&lt;='00-Parametros'!$C$19,"Fase 3 - Aceleração de Giro (61-90)","Fase 4 - Estoque Envelhecido (&gt;90)"))))</f>
        <v/>
      </c>
      <c r="F100" s="18">
        <f>IF(OR($A100="",$D100=""),"",IF($D100&lt;='00-Parametros'!$C$20,"Estoque Premium",IF($D100&lt;='00-Parametros'!$C$21,"Estoque Saudável",IF($D100&lt;='00-Parametros'!$C$22,"Estoque Atenção","Estoque Crítico"))))</f>
        <v/>
      </c>
      <c r="G100" s="15">
        <f>IF(OR($A100="",$D100=""),"",IF($D100&lt;='00-Parametros'!$C$17,IFERROR(INDEX('06-Precificacao'!$H$4:$H$123,MATCH($A100,'06-Precificacao'!$A$4:$A$123,0)),0),IF($D100&lt;='00-Parametros'!$C$18,IFERROR(INDEX('06-Precificacao'!$I$4:$I$123,MATCH($A100,'06-Precificacao'!$A$4:$A$123,0)),0),IFERROR(INDEX('06-Precificacao'!$J$4:$J$123,MATCH($A100,'06-Precificacao'!$A$4:$A$123,0)),0))))</f>
        <v/>
      </c>
      <c r="H100" s="15">
        <f>IF(OR($A100="",$C100=""),"",IF($C100&lt;&gt;"Vendida",IFERROR(INDEX('01-Cadastro-Motos'!$I$4:$I$123,MATCH($A100,'01-Cadastro-Motos'!$A$4:$A$123,0)),""),0))</f>
        <v/>
      </c>
      <c r="I100" s="18">
        <f>IF(OR($A100="",$D100=""),"",IF($D100&gt;'00-Parametros'!$C$19,"SIM - ver Pilar 10.4","Não"))</f>
        <v/>
      </c>
    </row>
    <row r="101">
      <c r="A101" s="18">
        <f>IF('01-Cadastro-Motos'!$A101="","",'01-Cadastro-Motos'!$A101)</f>
        <v/>
      </c>
      <c r="B101" s="18">
        <f>IF($A101="","",IFERROR(INDEX('01-Cadastro-Motos'!$B$4:$B$123,MATCH($A101,'01-Cadastro-Motos'!$A$4:$A$123,0)),""))</f>
        <v/>
      </c>
      <c r="C101" s="18">
        <f>IF($A101="","",IFERROR(INDEX('01-Cadastro-Motos'!$K$4:$K$123,MATCH($A101,'01-Cadastro-Motos'!$A$4:$A$123,0)),""))</f>
        <v/>
      </c>
      <c r="D101" s="22">
        <f>IF($A101="","",IFERROR(INDEX('01-Cadastro-Motos'!$P$4:$P$123,MATCH($A101,'01-Cadastro-Motos'!$A$4:$A$123,0)),""))</f>
        <v/>
      </c>
      <c r="E101" s="18">
        <f>IF(OR($A101="",$D101=""),"",IF($D101&lt;='00-Parametros'!$C$17,"Fase 1 - Lançamento (0-30)",IF($D101&lt;='00-Parametros'!$C$18,"Fase 2 - Consolidação (31-60)",IF($D101&lt;='00-Parametros'!$C$19,"Fase 3 - Aceleração de Giro (61-90)","Fase 4 - Estoque Envelhecido (&gt;90)"))))</f>
        <v/>
      </c>
      <c r="F101" s="18">
        <f>IF(OR($A101="",$D101=""),"",IF($D101&lt;='00-Parametros'!$C$20,"Estoque Premium",IF($D101&lt;='00-Parametros'!$C$21,"Estoque Saudável",IF($D101&lt;='00-Parametros'!$C$22,"Estoque Atenção","Estoque Crítico"))))</f>
        <v/>
      </c>
      <c r="G101" s="15">
        <f>IF(OR($A101="",$D101=""),"",IF($D101&lt;='00-Parametros'!$C$17,IFERROR(INDEX('06-Precificacao'!$H$4:$H$123,MATCH($A101,'06-Precificacao'!$A$4:$A$123,0)),0),IF($D101&lt;='00-Parametros'!$C$18,IFERROR(INDEX('06-Precificacao'!$I$4:$I$123,MATCH($A101,'06-Precificacao'!$A$4:$A$123,0)),0),IFERROR(INDEX('06-Precificacao'!$J$4:$J$123,MATCH($A101,'06-Precificacao'!$A$4:$A$123,0)),0))))</f>
        <v/>
      </c>
      <c r="H101" s="15">
        <f>IF(OR($A101="",$C101=""),"",IF($C101&lt;&gt;"Vendida",IFERROR(INDEX('01-Cadastro-Motos'!$I$4:$I$123,MATCH($A101,'01-Cadastro-Motos'!$A$4:$A$123,0)),""),0))</f>
        <v/>
      </c>
      <c r="I101" s="18">
        <f>IF(OR($A101="",$D101=""),"",IF($D101&gt;'00-Parametros'!$C$19,"SIM - ver Pilar 10.4","Não"))</f>
        <v/>
      </c>
    </row>
    <row r="102">
      <c r="A102" s="18">
        <f>IF('01-Cadastro-Motos'!$A102="","",'01-Cadastro-Motos'!$A102)</f>
        <v/>
      </c>
      <c r="B102" s="18">
        <f>IF($A102="","",IFERROR(INDEX('01-Cadastro-Motos'!$B$4:$B$123,MATCH($A102,'01-Cadastro-Motos'!$A$4:$A$123,0)),""))</f>
        <v/>
      </c>
      <c r="C102" s="18">
        <f>IF($A102="","",IFERROR(INDEX('01-Cadastro-Motos'!$K$4:$K$123,MATCH($A102,'01-Cadastro-Motos'!$A$4:$A$123,0)),""))</f>
        <v/>
      </c>
      <c r="D102" s="22">
        <f>IF($A102="","",IFERROR(INDEX('01-Cadastro-Motos'!$P$4:$P$123,MATCH($A102,'01-Cadastro-Motos'!$A$4:$A$123,0)),""))</f>
        <v/>
      </c>
      <c r="E102" s="18">
        <f>IF(OR($A102="",$D102=""),"",IF($D102&lt;='00-Parametros'!$C$17,"Fase 1 - Lançamento (0-30)",IF($D102&lt;='00-Parametros'!$C$18,"Fase 2 - Consolidação (31-60)",IF($D102&lt;='00-Parametros'!$C$19,"Fase 3 - Aceleração de Giro (61-90)","Fase 4 - Estoque Envelhecido (&gt;90)"))))</f>
        <v/>
      </c>
      <c r="F102" s="18">
        <f>IF(OR($A102="",$D102=""),"",IF($D102&lt;='00-Parametros'!$C$20,"Estoque Premium",IF($D102&lt;='00-Parametros'!$C$21,"Estoque Saudável",IF($D102&lt;='00-Parametros'!$C$22,"Estoque Atenção","Estoque Crítico"))))</f>
        <v/>
      </c>
      <c r="G102" s="15">
        <f>IF(OR($A102="",$D102=""),"",IF($D102&lt;='00-Parametros'!$C$17,IFERROR(INDEX('06-Precificacao'!$H$4:$H$123,MATCH($A102,'06-Precificacao'!$A$4:$A$123,0)),0),IF($D102&lt;='00-Parametros'!$C$18,IFERROR(INDEX('06-Precificacao'!$I$4:$I$123,MATCH($A102,'06-Precificacao'!$A$4:$A$123,0)),0),IFERROR(INDEX('06-Precificacao'!$J$4:$J$123,MATCH($A102,'06-Precificacao'!$A$4:$A$123,0)),0))))</f>
        <v/>
      </c>
      <c r="H102" s="15">
        <f>IF(OR($A102="",$C102=""),"",IF($C102&lt;&gt;"Vendida",IFERROR(INDEX('01-Cadastro-Motos'!$I$4:$I$123,MATCH($A102,'01-Cadastro-Motos'!$A$4:$A$123,0)),""),0))</f>
        <v/>
      </c>
      <c r="I102" s="18">
        <f>IF(OR($A102="",$D102=""),"",IF($D102&gt;'00-Parametros'!$C$19,"SIM - ver Pilar 10.4","Não"))</f>
        <v/>
      </c>
    </row>
    <row r="103">
      <c r="A103" s="18">
        <f>IF('01-Cadastro-Motos'!$A103="","",'01-Cadastro-Motos'!$A103)</f>
        <v/>
      </c>
      <c r="B103" s="18">
        <f>IF($A103="","",IFERROR(INDEX('01-Cadastro-Motos'!$B$4:$B$123,MATCH($A103,'01-Cadastro-Motos'!$A$4:$A$123,0)),""))</f>
        <v/>
      </c>
      <c r="C103" s="18">
        <f>IF($A103="","",IFERROR(INDEX('01-Cadastro-Motos'!$K$4:$K$123,MATCH($A103,'01-Cadastro-Motos'!$A$4:$A$123,0)),""))</f>
        <v/>
      </c>
      <c r="D103" s="22">
        <f>IF($A103="","",IFERROR(INDEX('01-Cadastro-Motos'!$P$4:$P$123,MATCH($A103,'01-Cadastro-Motos'!$A$4:$A$123,0)),""))</f>
        <v/>
      </c>
      <c r="E103" s="18">
        <f>IF(OR($A103="",$D103=""),"",IF($D103&lt;='00-Parametros'!$C$17,"Fase 1 - Lançamento (0-30)",IF($D103&lt;='00-Parametros'!$C$18,"Fase 2 - Consolidação (31-60)",IF($D103&lt;='00-Parametros'!$C$19,"Fase 3 - Aceleração de Giro (61-90)","Fase 4 - Estoque Envelhecido (&gt;90)"))))</f>
        <v/>
      </c>
      <c r="F103" s="18">
        <f>IF(OR($A103="",$D103=""),"",IF($D103&lt;='00-Parametros'!$C$20,"Estoque Premium",IF($D103&lt;='00-Parametros'!$C$21,"Estoque Saudável",IF($D103&lt;='00-Parametros'!$C$22,"Estoque Atenção","Estoque Crítico"))))</f>
        <v/>
      </c>
      <c r="G103" s="15">
        <f>IF(OR($A103="",$D103=""),"",IF($D103&lt;='00-Parametros'!$C$17,IFERROR(INDEX('06-Precificacao'!$H$4:$H$123,MATCH($A103,'06-Precificacao'!$A$4:$A$123,0)),0),IF($D103&lt;='00-Parametros'!$C$18,IFERROR(INDEX('06-Precificacao'!$I$4:$I$123,MATCH($A103,'06-Precificacao'!$A$4:$A$123,0)),0),IFERROR(INDEX('06-Precificacao'!$J$4:$J$123,MATCH($A103,'06-Precificacao'!$A$4:$A$123,0)),0))))</f>
        <v/>
      </c>
      <c r="H103" s="15">
        <f>IF(OR($A103="",$C103=""),"",IF($C103&lt;&gt;"Vendida",IFERROR(INDEX('01-Cadastro-Motos'!$I$4:$I$123,MATCH($A103,'01-Cadastro-Motos'!$A$4:$A$123,0)),""),0))</f>
        <v/>
      </c>
      <c r="I103" s="18">
        <f>IF(OR($A103="",$D103=""),"",IF($D103&gt;'00-Parametros'!$C$19,"SIM - ver Pilar 10.4","Não"))</f>
        <v/>
      </c>
    </row>
    <row r="104">
      <c r="A104" s="18">
        <f>IF('01-Cadastro-Motos'!$A104="","",'01-Cadastro-Motos'!$A104)</f>
        <v/>
      </c>
      <c r="B104" s="18">
        <f>IF($A104="","",IFERROR(INDEX('01-Cadastro-Motos'!$B$4:$B$123,MATCH($A104,'01-Cadastro-Motos'!$A$4:$A$123,0)),""))</f>
        <v/>
      </c>
      <c r="C104" s="18">
        <f>IF($A104="","",IFERROR(INDEX('01-Cadastro-Motos'!$K$4:$K$123,MATCH($A104,'01-Cadastro-Motos'!$A$4:$A$123,0)),""))</f>
        <v/>
      </c>
      <c r="D104" s="22">
        <f>IF($A104="","",IFERROR(INDEX('01-Cadastro-Motos'!$P$4:$P$123,MATCH($A104,'01-Cadastro-Motos'!$A$4:$A$123,0)),""))</f>
        <v/>
      </c>
      <c r="E104" s="18">
        <f>IF(OR($A104="",$D104=""),"",IF($D104&lt;='00-Parametros'!$C$17,"Fase 1 - Lançamento (0-30)",IF($D104&lt;='00-Parametros'!$C$18,"Fase 2 - Consolidação (31-60)",IF($D104&lt;='00-Parametros'!$C$19,"Fase 3 - Aceleração de Giro (61-90)","Fase 4 - Estoque Envelhecido (&gt;90)"))))</f>
        <v/>
      </c>
      <c r="F104" s="18">
        <f>IF(OR($A104="",$D104=""),"",IF($D104&lt;='00-Parametros'!$C$20,"Estoque Premium",IF($D104&lt;='00-Parametros'!$C$21,"Estoque Saudável",IF($D104&lt;='00-Parametros'!$C$22,"Estoque Atenção","Estoque Crítico"))))</f>
        <v/>
      </c>
      <c r="G104" s="15">
        <f>IF(OR($A104="",$D104=""),"",IF($D104&lt;='00-Parametros'!$C$17,IFERROR(INDEX('06-Precificacao'!$H$4:$H$123,MATCH($A104,'06-Precificacao'!$A$4:$A$123,0)),0),IF($D104&lt;='00-Parametros'!$C$18,IFERROR(INDEX('06-Precificacao'!$I$4:$I$123,MATCH($A104,'06-Precificacao'!$A$4:$A$123,0)),0),IFERROR(INDEX('06-Precificacao'!$J$4:$J$123,MATCH($A104,'06-Precificacao'!$A$4:$A$123,0)),0))))</f>
        <v/>
      </c>
      <c r="H104" s="15">
        <f>IF(OR($A104="",$C104=""),"",IF($C104&lt;&gt;"Vendida",IFERROR(INDEX('01-Cadastro-Motos'!$I$4:$I$123,MATCH($A104,'01-Cadastro-Motos'!$A$4:$A$123,0)),""),0))</f>
        <v/>
      </c>
      <c r="I104" s="18">
        <f>IF(OR($A104="",$D104=""),"",IF($D104&gt;'00-Parametros'!$C$19,"SIM - ver Pilar 10.4","Não"))</f>
        <v/>
      </c>
    </row>
    <row r="105">
      <c r="A105" s="18">
        <f>IF('01-Cadastro-Motos'!$A105="","",'01-Cadastro-Motos'!$A105)</f>
        <v/>
      </c>
      <c r="B105" s="18">
        <f>IF($A105="","",IFERROR(INDEX('01-Cadastro-Motos'!$B$4:$B$123,MATCH($A105,'01-Cadastro-Motos'!$A$4:$A$123,0)),""))</f>
        <v/>
      </c>
      <c r="C105" s="18">
        <f>IF($A105="","",IFERROR(INDEX('01-Cadastro-Motos'!$K$4:$K$123,MATCH($A105,'01-Cadastro-Motos'!$A$4:$A$123,0)),""))</f>
        <v/>
      </c>
      <c r="D105" s="22">
        <f>IF($A105="","",IFERROR(INDEX('01-Cadastro-Motos'!$P$4:$P$123,MATCH($A105,'01-Cadastro-Motos'!$A$4:$A$123,0)),""))</f>
        <v/>
      </c>
      <c r="E105" s="18">
        <f>IF(OR($A105="",$D105=""),"",IF($D105&lt;='00-Parametros'!$C$17,"Fase 1 - Lançamento (0-30)",IF($D105&lt;='00-Parametros'!$C$18,"Fase 2 - Consolidação (31-60)",IF($D105&lt;='00-Parametros'!$C$19,"Fase 3 - Aceleração de Giro (61-90)","Fase 4 - Estoque Envelhecido (&gt;90)"))))</f>
        <v/>
      </c>
      <c r="F105" s="18">
        <f>IF(OR($A105="",$D105=""),"",IF($D105&lt;='00-Parametros'!$C$20,"Estoque Premium",IF($D105&lt;='00-Parametros'!$C$21,"Estoque Saudável",IF($D105&lt;='00-Parametros'!$C$22,"Estoque Atenção","Estoque Crítico"))))</f>
        <v/>
      </c>
      <c r="G105" s="15">
        <f>IF(OR($A105="",$D105=""),"",IF($D105&lt;='00-Parametros'!$C$17,IFERROR(INDEX('06-Precificacao'!$H$4:$H$123,MATCH($A105,'06-Precificacao'!$A$4:$A$123,0)),0),IF($D105&lt;='00-Parametros'!$C$18,IFERROR(INDEX('06-Precificacao'!$I$4:$I$123,MATCH($A105,'06-Precificacao'!$A$4:$A$123,0)),0),IFERROR(INDEX('06-Precificacao'!$J$4:$J$123,MATCH($A105,'06-Precificacao'!$A$4:$A$123,0)),0))))</f>
        <v/>
      </c>
      <c r="H105" s="15">
        <f>IF(OR($A105="",$C105=""),"",IF($C105&lt;&gt;"Vendida",IFERROR(INDEX('01-Cadastro-Motos'!$I$4:$I$123,MATCH($A105,'01-Cadastro-Motos'!$A$4:$A$123,0)),""),0))</f>
        <v/>
      </c>
      <c r="I105" s="18">
        <f>IF(OR($A105="",$D105=""),"",IF($D105&gt;'00-Parametros'!$C$19,"SIM - ver Pilar 10.4","Não"))</f>
        <v/>
      </c>
    </row>
    <row r="106">
      <c r="A106" s="18">
        <f>IF('01-Cadastro-Motos'!$A106="","",'01-Cadastro-Motos'!$A106)</f>
        <v/>
      </c>
      <c r="B106" s="18">
        <f>IF($A106="","",IFERROR(INDEX('01-Cadastro-Motos'!$B$4:$B$123,MATCH($A106,'01-Cadastro-Motos'!$A$4:$A$123,0)),""))</f>
        <v/>
      </c>
      <c r="C106" s="18">
        <f>IF($A106="","",IFERROR(INDEX('01-Cadastro-Motos'!$K$4:$K$123,MATCH($A106,'01-Cadastro-Motos'!$A$4:$A$123,0)),""))</f>
        <v/>
      </c>
      <c r="D106" s="22">
        <f>IF($A106="","",IFERROR(INDEX('01-Cadastro-Motos'!$P$4:$P$123,MATCH($A106,'01-Cadastro-Motos'!$A$4:$A$123,0)),""))</f>
        <v/>
      </c>
      <c r="E106" s="18">
        <f>IF(OR($A106="",$D106=""),"",IF($D106&lt;='00-Parametros'!$C$17,"Fase 1 - Lançamento (0-30)",IF($D106&lt;='00-Parametros'!$C$18,"Fase 2 - Consolidação (31-60)",IF($D106&lt;='00-Parametros'!$C$19,"Fase 3 - Aceleração de Giro (61-90)","Fase 4 - Estoque Envelhecido (&gt;90)"))))</f>
        <v/>
      </c>
      <c r="F106" s="18">
        <f>IF(OR($A106="",$D106=""),"",IF($D106&lt;='00-Parametros'!$C$20,"Estoque Premium",IF($D106&lt;='00-Parametros'!$C$21,"Estoque Saudável",IF($D106&lt;='00-Parametros'!$C$22,"Estoque Atenção","Estoque Crítico"))))</f>
        <v/>
      </c>
      <c r="G106" s="15">
        <f>IF(OR($A106="",$D106=""),"",IF($D106&lt;='00-Parametros'!$C$17,IFERROR(INDEX('06-Precificacao'!$H$4:$H$123,MATCH($A106,'06-Precificacao'!$A$4:$A$123,0)),0),IF($D106&lt;='00-Parametros'!$C$18,IFERROR(INDEX('06-Precificacao'!$I$4:$I$123,MATCH($A106,'06-Precificacao'!$A$4:$A$123,0)),0),IFERROR(INDEX('06-Precificacao'!$J$4:$J$123,MATCH($A106,'06-Precificacao'!$A$4:$A$123,0)),0))))</f>
        <v/>
      </c>
      <c r="H106" s="15">
        <f>IF(OR($A106="",$C106=""),"",IF($C106&lt;&gt;"Vendida",IFERROR(INDEX('01-Cadastro-Motos'!$I$4:$I$123,MATCH($A106,'01-Cadastro-Motos'!$A$4:$A$123,0)),""),0))</f>
        <v/>
      </c>
      <c r="I106" s="18">
        <f>IF(OR($A106="",$D106=""),"",IF($D106&gt;'00-Parametros'!$C$19,"SIM - ver Pilar 10.4","Não"))</f>
        <v/>
      </c>
    </row>
    <row r="107">
      <c r="A107" s="18">
        <f>IF('01-Cadastro-Motos'!$A107="","",'01-Cadastro-Motos'!$A107)</f>
        <v/>
      </c>
      <c r="B107" s="18">
        <f>IF($A107="","",IFERROR(INDEX('01-Cadastro-Motos'!$B$4:$B$123,MATCH($A107,'01-Cadastro-Motos'!$A$4:$A$123,0)),""))</f>
        <v/>
      </c>
      <c r="C107" s="18">
        <f>IF($A107="","",IFERROR(INDEX('01-Cadastro-Motos'!$K$4:$K$123,MATCH($A107,'01-Cadastro-Motos'!$A$4:$A$123,0)),""))</f>
        <v/>
      </c>
      <c r="D107" s="22">
        <f>IF($A107="","",IFERROR(INDEX('01-Cadastro-Motos'!$P$4:$P$123,MATCH($A107,'01-Cadastro-Motos'!$A$4:$A$123,0)),""))</f>
        <v/>
      </c>
      <c r="E107" s="18">
        <f>IF(OR($A107="",$D107=""),"",IF($D107&lt;='00-Parametros'!$C$17,"Fase 1 - Lançamento (0-30)",IF($D107&lt;='00-Parametros'!$C$18,"Fase 2 - Consolidação (31-60)",IF($D107&lt;='00-Parametros'!$C$19,"Fase 3 - Aceleração de Giro (61-90)","Fase 4 - Estoque Envelhecido (&gt;90)"))))</f>
        <v/>
      </c>
      <c r="F107" s="18">
        <f>IF(OR($A107="",$D107=""),"",IF($D107&lt;='00-Parametros'!$C$20,"Estoque Premium",IF($D107&lt;='00-Parametros'!$C$21,"Estoque Saudável",IF($D107&lt;='00-Parametros'!$C$22,"Estoque Atenção","Estoque Crítico"))))</f>
        <v/>
      </c>
      <c r="G107" s="15">
        <f>IF(OR($A107="",$D107=""),"",IF($D107&lt;='00-Parametros'!$C$17,IFERROR(INDEX('06-Precificacao'!$H$4:$H$123,MATCH($A107,'06-Precificacao'!$A$4:$A$123,0)),0),IF($D107&lt;='00-Parametros'!$C$18,IFERROR(INDEX('06-Precificacao'!$I$4:$I$123,MATCH($A107,'06-Precificacao'!$A$4:$A$123,0)),0),IFERROR(INDEX('06-Precificacao'!$J$4:$J$123,MATCH($A107,'06-Precificacao'!$A$4:$A$123,0)),0))))</f>
        <v/>
      </c>
      <c r="H107" s="15">
        <f>IF(OR($A107="",$C107=""),"",IF($C107&lt;&gt;"Vendida",IFERROR(INDEX('01-Cadastro-Motos'!$I$4:$I$123,MATCH($A107,'01-Cadastro-Motos'!$A$4:$A$123,0)),""),0))</f>
        <v/>
      </c>
      <c r="I107" s="18">
        <f>IF(OR($A107="",$D107=""),"",IF($D107&gt;'00-Parametros'!$C$19,"SIM - ver Pilar 10.4","Não"))</f>
        <v/>
      </c>
    </row>
    <row r="108">
      <c r="A108" s="18">
        <f>IF('01-Cadastro-Motos'!$A108="","",'01-Cadastro-Motos'!$A108)</f>
        <v/>
      </c>
      <c r="B108" s="18">
        <f>IF($A108="","",IFERROR(INDEX('01-Cadastro-Motos'!$B$4:$B$123,MATCH($A108,'01-Cadastro-Motos'!$A$4:$A$123,0)),""))</f>
        <v/>
      </c>
      <c r="C108" s="18">
        <f>IF($A108="","",IFERROR(INDEX('01-Cadastro-Motos'!$K$4:$K$123,MATCH($A108,'01-Cadastro-Motos'!$A$4:$A$123,0)),""))</f>
        <v/>
      </c>
      <c r="D108" s="22">
        <f>IF($A108="","",IFERROR(INDEX('01-Cadastro-Motos'!$P$4:$P$123,MATCH($A108,'01-Cadastro-Motos'!$A$4:$A$123,0)),""))</f>
        <v/>
      </c>
      <c r="E108" s="18">
        <f>IF(OR($A108="",$D108=""),"",IF($D108&lt;='00-Parametros'!$C$17,"Fase 1 - Lançamento (0-30)",IF($D108&lt;='00-Parametros'!$C$18,"Fase 2 - Consolidação (31-60)",IF($D108&lt;='00-Parametros'!$C$19,"Fase 3 - Aceleração de Giro (61-90)","Fase 4 - Estoque Envelhecido (&gt;90)"))))</f>
        <v/>
      </c>
      <c r="F108" s="18">
        <f>IF(OR($A108="",$D108=""),"",IF($D108&lt;='00-Parametros'!$C$20,"Estoque Premium",IF($D108&lt;='00-Parametros'!$C$21,"Estoque Saudável",IF($D108&lt;='00-Parametros'!$C$22,"Estoque Atenção","Estoque Crítico"))))</f>
        <v/>
      </c>
      <c r="G108" s="15">
        <f>IF(OR($A108="",$D108=""),"",IF($D108&lt;='00-Parametros'!$C$17,IFERROR(INDEX('06-Precificacao'!$H$4:$H$123,MATCH($A108,'06-Precificacao'!$A$4:$A$123,0)),0),IF($D108&lt;='00-Parametros'!$C$18,IFERROR(INDEX('06-Precificacao'!$I$4:$I$123,MATCH($A108,'06-Precificacao'!$A$4:$A$123,0)),0),IFERROR(INDEX('06-Precificacao'!$J$4:$J$123,MATCH($A108,'06-Precificacao'!$A$4:$A$123,0)),0))))</f>
        <v/>
      </c>
      <c r="H108" s="15">
        <f>IF(OR($A108="",$C108=""),"",IF($C108&lt;&gt;"Vendida",IFERROR(INDEX('01-Cadastro-Motos'!$I$4:$I$123,MATCH($A108,'01-Cadastro-Motos'!$A$4:$A$123,0)),""),0))</f>
        <v/>
      </c>
      <c r="I108" s="18">
        <f>IF(OR($A108="",$D108=""),"",IF($D108&gt;'00-Parametros'!$C$19,"SIM - ver Pilar 10.4","Não"))</f>
        <v/>
      </c>
    </row>
    <row r="109">
      <c r="A109" s="18">
        <f>IF('01-Cadastro-Motos'!$A109="","",'01-Cadastro-Motos'!$A109)</f>
        <v/>
      </c>
      <c r="B109" s="18">
        <f>IF($A109="","",IFERROR(INDEX('01-Cadastro-Motos'!$B$4:$B$123,MATCH($A109,'01-Cadastro-Motos'!$A$4:$A$123,0)),""))</f>
        <v/>
      </c>
      <c r="C109" s="18">
        <f>IF($A109="","",IFERROR(INDEX('01-Cadastro-Motos'!$K$4:$K$123,MATCH($A109,'01-Cadastro-Motos'!$A$4:$A$123,0)),""))</f>
        <v/>
      </c>
      <c r="D109" s="22">
        <f>IF($A109="","",IFERROR(INDEX('01-Cadastro-Motos'!$P$4:$P$123,MATCH($A109,'01-Cadastro-Motos'!$A$4:$A$123,0)),""))</f>
        <v/>
      </c>
      <c r="E109" s="18">
        <f>IF(OR($A109="",$D109=""),"",IF($D109&lt;='00-Parametros'!$C$17,"Fase 1 - Lançamento (0-30)",IF($D109&lt;='00-Parametros'!$C$18,"Fase 2 - Consolidação (31-60)",IF($D109&lt;='00-Parametros'!$C$19,"Fase 3 - Aceleração de Giro (61-90)","Fase 4 - Estoque Envelhecido (&gt;90)"))))</f>
        <v/>
      </c>
      <c r="F109" s="18">
        <f>IF(OR($A109="",$D109=""),"",IF($D109&lt;='00-Parametros'!$C$20,"Estoque Premium",IF($D109&lt;='00-Parametros'!$C$21,"Estoque Saudável",IF($D109&lt;='00-Parametros'!$C$22,"Estoque Atenção","Estoque Crítico"))))</f>
        <v/>
      </c>
      <c r="G109" s="15">
        <f>IF(OR($A109="",$D109=""),"",IF($D109&lt;='00-Parametros'!$C$17,IFERROR(INDEX('06-Precificacao'!$H$4:$H$123,MATCH($A109,'06-Precificacao'!$A$4:$A$123,0)),0),IF($D109&lt;='00-Parametros'!$C$18,IFERROR(INDEX('06-Precificacao'!$I$4:$I$123,MATCH($A109,'06-Precificacao'!$A$4:$A$123,0)),0),IFERROR(INDEX('06-Precificacao'!$J$4:$J$123,MATCH($A109,'06-Precificacao'!$A$4:$A$123,0)),0))))</f>
        <v/>
      </c>
      <c r="H109" s="15">
        <f>IF(OR($A109="",$C109=""),"",IF($C109&lt;&gt;"Vendida",IFERROR(INDEX('01-Cadastro-Motos'!$I$4:$I$123,MATCH($A109,'01-Cadastro-Motos'!$A$4:$A$123,0)),""),0))</f>
        <v/>
      </c>
      <c r="I109" s="18">
        <f>IF(OR($A109="",$D109=""),"",IF($D109&gt;'00-Parametros'!$C$19,"SIM - ver Pilar 10.4","Não"))</f>
        <v/>
      </c>
    </row>
    <row r="110">
      <c r="A110" s="18">
        <f>IF('01-Cadastro-Motos'!$A110="","",'01-Cadastro-Motos'!$A110)</f>
        <v/>
      </c>
      <c r="B110" s="18">
        <f>IF($A110="","",IFERROR(INDEX('01-Cadastro-Motos'!$B$4:$B$123,MATCH($A110,'01-Cadastro-Motos'!$A$4:$A$123,0)),""))</f>
        <v/>
      </c>
      <c r="C110" s="18">
        <f>IF($A110="","",IFERROR(INDEX('01-Cadastro-Motos'!$K$4:$K$123,MATCH($A110,'01-Cadastro-Motos'!$A$4:$A$123,0)),""))</f>
        <v/>
      </c>
      <c r="D110" s="22">
        <f>IF($A110="","",IFERROR(INDEX('01-Cadastro-Motos'!$P$4:$P$123,MATCH($A110,'01-Cadastro-Motos'!$A$4:$A$123,0)),""))</f>
        <v/>
      </c>
      <c r="E110" s="18">
        <f>IF(OR($A110="",$D110=""),"",IF($D110&lt;='00-Parametros'!$C$17,"Fase 1 - Lançamento (0-30)",IF($D110&lt;='00-Parametros'!$C$18,"Fase 2 - Consolidação (31-60)",IF($D110&lt;='00-Parametros'!$C$19,"Fase 3 - Aceleração de Giro (61-90)","Fase 4 - Estoque Envelhecido (&gt;90)"))))</f>
        <v/>
      </c>
      <c r="F110" s="18">
        <f>IF(OR($A110="",$D110=""),"",IF($D110&lt;='00-Parametros'!$C$20,"Estoque Premium",IF($D110&lt;='00-Parametros'!$C$21,"Estoque Saudável",IF($D110&lt;='00-Parametros'!$C$22,"Estoque Atenção","Estoque Crítico"))))</f>
        <v/>
      </c>
      <c r="G110" s="15">
        <f>IF(OR($A110="",$D110=""),"",IF($D110&lt;='00-Parametros'!$C$17,IFERROR(INDEX('06-Precificacao'!$H$4:$H$123,MATCH($A110,'06-Precificacao'!$A$4:$A$123,0)),0),IF($D110&lt;='00-Parametros'!$C$18,IFERROR(INDEX('06-Precificacao'!$I$4:$I$123,MATCH($A110,'06-Precificacao'!$A$4:$A$123,0)),0),IFERROR(INDEX('06-Precificacao'!$J$4:$J$123,MATCH($A110,'06-Precificacao'!$A$4:$A$123,0)),0))))</f>
        <v/>
      </c>
      <c r="H110" s="15">
        <f>IF(OR($A110="",$C110=""),"",IF($C110&lt;&gt;"Vendida",IFERROR(INDEX('01-Cadastro-Motos'!$I$4:$I$123,MATCH($A110,'01-Cadastro-Motos'!$A$4:$A$123,0)),""),0))</f>
        <v/>
      </c>
      <c r="I110" s="18">
        <f>IF(OR($A110="",$D110=""),"",IF($D110&gt;'00-Parametros'!$C$19,"SIM - ver Pilar 10.4","Não"))</f>
        <v/>
      </c>
    </row>
    <row r="111">
      <c r="A111" s="18">
        <f>IF('01-Cadastro-Motos'!$A111="","",'01-Cadastro-Motos'!$A111)</f>
        <v/>
      </c>
      <c r="B111" s="18">
        <f>IF($A111="","",IFERROR(INDEX('01-Cadastro-Motos'!$B$4:$B$123,MATCH($A111,'01-Cadastro-Motos'!$A$4:$A$123,0)),""))</f>
        <v/>
      </c>
      <c r="C111" s="18">
        <f>IF($A111="","",IFERROR(INDEX('01-Cadastro-Motos'!$K$4:$K$123,MATCH($A111,'01-Cadastro-Motos'!$A$4:$A$123,0)),""))</f>
        <v/>
      </c>
      <c r="D111" s="22">
        <f>IF($A111="","",IFERROR(INDEX('01-Cadastro-Motos'!$P$4:$P$123,MATCH($A111,'01-Cadastro-Motos'!$A$4:$A$123,0)),""))</f>
        <v/>
      </c>
      <c r="E111" s="18">
        <f>IF(OR($A111="",$D111=""),"",IF($D111&lt;='00-Parametros'!$C$17,"Fase 1 - Lançamento (0-30)",IF($D111&lt;='00-Parametros'!$C$18,"Fase 2 - Consolidação (31-60)",IF($D111&lt;='00-Parametros'!$C$19,"Fase 3 - Aceleração de Giro (61-90)","Fase 4 - Estoque Envelhecido (&gt;90)"))))</f>
        <v/>
      </c>
      <c r="F111" s="18">
        <f>IF(OR($A111="",$D111=""),"",IF($D111&lt;='00-Parametros'!$C$20,"Estoque Premium",IF($D111&lt;='00-Parametros'!$C$21,"Estoque Saudável",IF($D111&lt;='00-Parametros'!$C$22,"Estoque Atenção","Estoque Crítico"))))</f>
        <v/>
      </c>
      <c r="G111" s="15">
        <f>IF(OR($A111="",$D111=""),"",IF($D111&lt;='00-Parametros'!$C$17,IFERROR(INDEX('06-Precificacao'!$H$4:$H$123,MATCH($A111,'06-Precificacao'!$A$4:$A$123,0)),0),IF($D111&lt;='00-Parametros'!$C$18,IFERROR(INDEX('06-Precificacao'!$I$4:$I$123,MATCH($A111,'06-Precificacao'!$A$4:$A$123,0)),0),IFERROR(INDEX('06-Precificacao'!$J$4:$J$123,MATCH($A111,'06-Precificacao'!$A$4:$A$123,0)),0))))</f>
        <v/>
      </c>
      <c r="H111" s="15">
        <f>IF(OR($A111="",$C111=""),"",IF($C111&lt;&gt;"Vendida",IFERROR(INDEX('01-Cadastro-Motos'!$I$4:$I$123,MATCH($A111,'01-Cadastro-Motos'!$A$4:$A$123,0)),""),0))</f>
        <v/>
      </c>
      <c r="I111" s="18">
        <f>IF(OR($A111="",$D111=""),"",IF($D111&gt;'00-Parametros'!$C$19,"SIM - ver Pilar 10.4","Não"))</f>
        <v/>
      </c>
    </row>
    <row r="112">
      <c r="A112" s="18">
        <f>IF('01-Cadastro-Motos'!$A112="","",'01-Cadastro-Motos'!$A112)</f>
        <v/>
      </c>
      <c r="B112" s="18">
        <f>IF($A112="","",IFERROR(INDEX('01-Cadastro-Motos'!$B$4:$B$123,MATCH($A112,'01-Cadastro-Motos'!$A$4:$A$123,0)),""))</f>
        <v/>
      </c>
      <c r="C112" s="18">
        <f>IF($A112="","",IFERROR(INDEX('01-Cadastro-Motos'!$K$4:$K$123,MATCH($A112,'01-Cadastro-Motos'!$A$4:$A$123,0)),""))</f>
        <v/>
      </c>
      <c r="D112" s="22">
        <f>IF($A112="","",IFERROR(INDEX('01-Cadastro-Motos'!$P$4:$P$123,MATCH($A112,'01-Cadastro-Motos'!$A$4:$A$123,0)),""))</f>
        <v/>
      </c>
      <c r="E112" s="18">
        <f>IF(OR($A112="",$D112=""),"",IF($D112&lt;='00-Parametros'!$C$17,"Fase 1 - Lançamento (0-30)",IF($D112&lt;='00-Parametros'!$C$18,"Fase 2 - Consolidação (31-60)",IF($D112&lt;='00-Parametros'!$C$19,"Fase 3 - Aceleração de Giro (61-90)","Fase 4 - Estoque Envelhecido (&gt;90)"))))</f>
        <v/>
      </c>
      <c r="F112" s="18">
        <f>IF(OR($A112="",$D112=""),"",IF($D112&lt;='00-Parametros'!$C$20,"Estoque Premium",IF($D112&lt;='00-Parametros'!$C$21,"Estoque Saudável",IF($D112&lt;='00-Parametros'!$C$22,"Estoque Atenção","Estoque Crítico"))))</f>
        <v/>
      </c>
      <c r="G112" s="15">
        <f>IF(OR($A112="",$D112=""),"",IF($D112&lt;='00-Parametros'!$C$17,IFERROR(INDEX('06-Precificacao'!$H$4:$H$123,MATCH($A112,'06-Precificacao'!$A$4:$A$123,0)),0),IF($D112&lt;='00-Parametros'!$C$18,IFERROR(INDEX('06-Precificacao'!$I$4:$I$123,MATCH($A112,'06-Precificacao'!$A$4:$A$123,0)),0),IFERROR(INDEX('06-Precificacao'!$J$4:$J$123,MATCH($A112,'06-Precificacao'!$A$4:$A$123,0)),0))))</f>
        <v/>
      </c>
      <c r="H112" s="15">
        <f>IF(OR($A112="",$C112=""),"",IF($C112&lt;&gt;"Vendida",IFERROR(INDEX('01-Cadastro-Motos'!$I$4:$I$123,MATCH($A112,'01-Cadastro-Motos'!$A$4:$A$123,0)),""),0))</f>
        <v/>
      </c>
      <c r="I112" s="18">
        <f>IF(OR($A112="",$D112=""),"",IF($D112&gt;'00-Parametros'!$C$19,"SIM - ver Pilar 10.4","Não"))</f>
        <v/>
      </c>
    </row>
    <row r="113">
      <c r="A113" s="18">
        <f>IF('01-Cadastro-Motos'!$A113="","",'01-Cadastro-Motos'!$A113)</f>
        <v/>
      </c>
      <c r="B113" s="18">
        <f>IF($A113="","",IFERROR(INDEX('01-Cadastro-Motos'!$B$4:$B$123,MATCH($A113,'01-Cadastro-Motos'!$A$4:$A$123,0)),""))</f>
        <v/>
      </c>
      <c r="C113" s="18">
        <f>IF($A113="","",IFERROR(INDEX('01-Cadastro-Motos'!$K$4:$K$123,MATCH($A113,'01-Cadastro-Motos'!$A$4:$A$123,0)),""))</f>
        <v/>
      </c>
      <c r="D113" s="22">
        <f>IF($A113="","",IFERROR(INDEX('01-Cadastro-Motos'!$P$4:$P$123,MATCH($A113,'01-Cadastro-Motos'!$A$4:$A$123,0)),""))</f>
        <v/>
      </c>
      <c r="E113" s="18">
        <f>IF(OR($A113="",$D113=""),"",IF($D113&lt;='00-Parametros'!$C$17,"Fase 1 - Lançamento (0-30)",IF($D113&lt;='00-Parametros'!$C$18,"Fase 2 - Consolidação (31-60)",IF($D113&lt;='00-Parametros'!$C$19,"Fase 3 - Aceleração de Giro (61-90)","Fase 4 - Estoque Envelhecido (&gt;90)"))))</f>
        <v/>
      </c>
      <c r="F113" s="18">
        <f>IF(OR($A113="",$D113=""),"",IF($D113&lt;='00-Parametros'!$C$20,"Estoque Premium",IF($D113&lt;='00-Parametros'!$C$21,"Estoque Saudável",IF($D113&lt;='00-Parametros'!$C$22,"Estoque Atenção","Estoque Crítico"))))</f>
        <v/>
      </c>
      <c r="G113" s="15">
        <f>IF(OR($A113="",$D113=""),"",IF($D113&lt;='00-Parametros'!$C$17,IFERROR(INDEX('06-Precificacao'!$H$4:$H$123,MATCH($A113,'06-Precificacao'!$A$4:$A$123,0)),0),IF($D113&lt;='00-Parametros'!$C$18,IFERROR(INDEX('06-Precificacao'!$I$4:$I$123,MATCH($A113,'06-Precificacao'!$A$4:$A$123,0)),0),IFERROR(INDEX('06-Precificacao'!$J$4:$J$123,MATCH($A113,'06-Precificacao'!$A$4:$A$123,0)),0))))</f>
        <v/>
      </c>
      <c r="H113" s="15">
        <f>IF(OR($A113="",$C113=""),"",IF($C113&lt;&gt;"Vendida",IFERROR(INDEX('01-Cadastro-Motos'!$I$4:$I$123,MATCH($A113,'01-Cadastro-Motos'!$A$4:$A$123,0)),""),0))</f>
        <v/>
      </c>
      <c r="I113" s="18">
        <f>IF(OR($A113="",$D113=""),"",IF($D113&gt;'00-Parametros'!$C$19,"SIM - ver Pilar 10.4","Não"))</f>
        <v/>
      </c>
    </row>
    <row r="114">
      <c r="A114" s="18">
        <f>IF('01-Cadastro-Motos'!$A114="","",'01-Cadastro-Motos'!$A114)</f>
        <v/>
      </c>
      <c r="B114" s="18">
        <f>IF($A114="","",IFERROR(INDEX('01-Cadastro-Motos'!$B$4:$B$123,MATCH($A114,'01-Cadastro-Motos'!$A$4:$A$123,0)),""))</f>
        <v/>
      </c>
      <c r="C114" s="18">
        <f>IF($A114="","",IFERROR(INDEX('01-Cadastro-Motos'!$K$4:$K$123,MATCH($A114,'01-Cadastro-Motos'!$A$4:$A$123,0)),""))</f>
        <v/>
      </c>
      <c r="D114" s="22">
        <f>IF($A114="","",IFERROR(INDEX('01-Cadastro-Motos'!$P$4:$P$123,MATCH($A114,'01-Cadastro-Motos'!$A$4:$A$123,0)),""))</f>
        <v/>
      </c>
      <c r="E114" s="18">
        <f>IF(OR($A114="",$D114=""),"",IF($D114&lt;='00-Parametros'!$C$17,"Fase 1 - Lançamento (0-30)",IF($D114&lt;='00-Parametros'!$C$18,"Fase 2 - Consolidação (31-60)",IF($D114&lt;='00-Parametros'!$C$19,"Fase 3 - Aceleração de Giro (61-90)","Fase 4 - Estoque Envelhecido (&gt;90)"))))</f>
        <v/>
      </c>
      <c r="F114" s="18">
        <f>IF(OR($A114="",$D114=""),"",IF($D114&lt;='00-Parametros'!$C$20,"Estoque Premium",IF($D114&lt;='00-Parametros'!$C$21,"Estoque Saudável",IF($D114&lt;='00-Parametros'!$C$22,"Estoque Atenção","Estoque Crítico"))))</f>
        <v/>
      </c>
      <c r="G114" s="15">
        <f>IF(OR($A114="",$D114=""),"",IF($D114&lt;='00-Parametros'!$C$17,IFERROR(INDEX('06-Precificacao'!$H$4:$H$123,MATCH($A114,'06-Precificacao'!$A$4:$A$123,0)),0),IF($D114&lt;='00-Parametros'!$C$18,IFERROR(INDEX('06-Precificacao'!$I$4:$I$123,MATCH($A114,'06-Precificacao'!$A$4:$A$123,0)),0),IFERROR(INDEX('06-Precificacao'!$J$4:$J$123,MATCH($A114,'06-Precificacao'!$A$4:$A$123,0)),0))))</f>
        <v/>
      </c>
      <c r="H114" s="15">
        <f>IF(OR($A114="",$C114=""),"",IF($C114&lt;&gt;"Vendida",IFERROR(INDEX('01-Cadastro-Motos'!$I$4:$I$123,MATCH($A114,'01-Cadastro-Motos'!$A$4:$A$123,0)),""),0))</f>
        <v/>
      </c>
      <c r="I114" s="18">
        <f>IF(OR($A114="",$D114=""),"",IF($D114&gt;'00-Parametros'!$C$19,"SIM - ver Pilar 10.4","Não"))</f>
        <v/>
      </c>
    </row>
    <row r="115">
      <c r="A115" s="18">
        <f>IF('01-Cadastro-Motos'!$A115="","",'01-Cadastro-Motos'!$A115)</f>
        <v/>
      </c>
      <c r="B115" s="18">
        <f>IF($A115="","",IFERROR(INDEX('01-Cadastro-Motos'!$B$4:$B$123,MATCH($A115,'01-Cadastro-Motos'!$A$4:$A$123,0)),""))</f>
        <v/>
      </c>
      <c r="C115" s="18">
        <f>IF($A115="","",IFERROR(INDEX('01-Cadastro-Motos'!$K$4:$K$123,MATCH($A115,'01-Cadastro-Motos'!$A$4:$A$123,0)),""))</f>
        <v/>
      </c>
      <c r="D115" s="22">
        <f>IF($A115="","",IFERROR(INDEX('01-Cadastro-Motos'!$P$4:$P$123,MATCH($A115,'01-Cadastro-Motos'!$A$4:$A$123,0)),""))</f>
        <v/>
      </c>
      <c r="E115" s="18">
        <f>IF(OR($A115="",$D115=""),"",IF($D115&lt;='00-Parametros'!$C$17,"Fase 1 - Lançamento (0-30)",IF($D115&lt;='00-Parametros'!$C$18,"Fase 2 - Consolidação (31-60)",IF($D115&lt;='00-Parametros'!$C$19,"Fase 3 - Aceleração de Giro (61-90)","Fase 4 - Estoque Envelhecido (&gt;90)"))))</f>
        <v/>
      </c>
      <c r="F115" s="18">
        <f>IF(OR($A115="",$D115=""),"",IF($D115&lt;='00-Parametros'!$C$20,"Estoque Premium",IF($D115&lt;='00-Parametros'!$C$21,"Estoque Saudável",IF($D115&lt;='00-Parametros'!$C$22,"Estoque Atenção","Estoque Crítico"))))</f>
        <v/>
      </c>
      <c r="G115" s="15">
        <f>IF(OR($A115="",$D115=""),"",IF($D115&lt;='00-Parametros'!$C$17,IFERROR(INDEX('06-Precificacao'!$H$4:$H$123,MATCH($A115,'06-Precificacao'!$A$4:$A$123,0)),0),IF($D115&lt;='00-Parametros'!$C$18,IFERROR(INDEX('06-Precificacao'!$I$4:$I$123,MATCH($A115,'06-Precificacao'!$A$4:$A$123,0)),0),IFERROR(INDEX('06-Precificacao'!$J$4:$J$123,MATCH($A115,'06-Precificacao'!$A$4:$A$123,0)),0))))</f>
        <v/>
      </c>
      <c r="H115" s="15">
        <f>IF(OR($A115="",$C115=""),"",IF($C115&lt;&gt;"Vendida",IFERROR(INDEX('01-Cadastro-Motos'!$I$4:$I$123,MATCH($A115,'01-Cadastro-Motos'!$A$4:$A$123,0)),""),0))</f>
        <v/>
      </c>
      <c r="I115" s="18">
        <f>IF(OR($A115="",$D115=""),"",IF($D115&gt;'00-Parametros'!$C$19,"SIM - ver Pilar 10.4","Não"))</f>
        <v/>
      </c>
    </row>
    <row r="116">
      <c r="A116" s="18">
        <f>IF('01-Cadastro-Motos'!$A116="","",'01-Cadastro-Motos'!$A116)</f>
        <v/>
      </c>
      <c r="B116" s="18">
        <f>IF($A116="","",IFERROR(INDEX('01-Cadastro-Motos'!$B$4:$B$123,MATCH($A116,'01-Cadastro-Motos'!$A$4:$A$123,0)),""))</f>
        <v/>
      </c>
      <c r="C116" s="18">
        <f>IF($A116="","",IFERROR(INDEX('01-Cadastro-Motos'!$K$4:$K$123,MATCH($A116,'01-Cadastro-Motos'!$A$4:$A$123,0)),""))</f>
        <v/>
      </c>
      <c r="D116" s="22">
        <f>IF($A116="","",IFERROR(INDEX('01-Cadastro-Motos'!$P$4:$P$123,MATCH($A116,'01-Cadastro-Motos'!$A$4:$A$123,0)),""))</f>
        <v/>
      </c>
      <c r="E116" s="18">
        <f>IF(OR($A116="",$D116=""),"",IF($D116&lt;='00-Parametros'!$C$17,"Fase 1 - Lançamento (0-30)",IF($D116&lt;='00-Parametros'!$C$18,"Fase 2 - Consolidação (31-60)",IF($D116&lt;='00-Parametros'!$C$19,"Fase 3 - Aceleração de Giro (61-90)","Fase 4 - Estoque Envelhecido (&gt;90)"))))</f>
        <v/>
      </c>
      <c r="F116" s="18">
        <f>IF(OR($A116="",$D116=""),"",IF($D116&lt;='00-Parametros'!$C$20,"Estoque Premium",IF($D116&lt;='00-Parametros'!$C$21,"Estoque Saudável",IF($D116&lt;='00-Parametros'!$C$22,"Estoque Atenção","Estoque Crítico"))))</f>
        <v/>
      </c>
      <c r="G116" s="15">
        <f>IF(OR($A116="",$D116=""),"",IF($D116&lt;='00-Parametros'!$C$17,IFERROR(INDEX('06-Precificacao'!$H$4:$H$123,MATCH($A116,'06-Precificacao'!$A$4:$A$123,0)),0),IF($D116&lt;='00-Parametros'!$C$18,IFERROR(INDEX('06-Precificacao'!$I$4:$I$123,MATCH($A116,'06-Precificacao'!$A$4:$A$123,0)),0),IFERROR(INDEX('06-Precificacao'!$J$4:$J$123,MATCH($A116,'06-Precificacao'!$A$4:$A$123,0)),0))))</f>
        <v/>
      </c>
      <c r="H116" s="15">
        <f>IF(OR($A116="",$C116=""),"",IF($C116&lt;&gt;"Vendida",IFERROR(INDEX('01-Cadastro-Motos'!$I$4:$I$123,MATCH($A116,'01-Cadastro-Motos'!$A$4:$A$123,0)),""),0))</f>
        <v/>
      </c>
      <c r="I116" s="18">
        <f>IF(OR($A116="",$D116=""),"",IF($D116&gt;'00-Parametros'!$C$19,"SIM - ver Pilar 10.4","Não"))</f>
        <v/>
      </c>
    </row>
    <row r="117">
      <c r="A117" s="18">
        <f>IF('01-Cadastro-Motos'!$A117="","",'01-Cadastro-Motos'!$A117)</f>
        <v/>
      </c>
      <c r="B117" s="18">
        <f>IF($A117="","",IFERROR(INDEX('01-Cadastro-Motos'!$B$4:$B$123,MATCH($A117,'01-Cadastro-Motos'!$A$4:$A$123,0)),""))</f>
        <v/>
      </c>
      <c r="C117" s="18">
        <f>IF($A117="","",IFERROR(INDEX('01-Cadastro-Motos'!$K$4:$K$123,MATCH($A117,'01-Cadastro-Motos'!$A$4:$A$123,0)),""))</f>
        <v/>
      </c>
      <c r="D117" s="22">
        <f>IF($A117="","",IFERROR(INDEX('01-Cadastro-Motos'!$P$4:$P$123,MATCH($A117,'01-Cadastro-Motos'!$A$4:$A$123,0)),""))</f>
        <v/>
      </c>
      <c r="E117" s="18">
        <f>IF(OR($A117="",$D117=""),"",IF($D117&lt;='00-Parametros'!$C$17,"Fase 1 - Lançamento (0-30)",IF($D117&lt;='00-Parametros'!$C$18,"Fase 2 - Consolidação (31-60)",IF($D117&lt;='00-Parametros'!$C$19,"Fase 3 - Aceleração de Giro (61-90)","Fase 4 - Estoque Envelhecido (&gt;90)"))))</f>
        <v/>
      </c>
      <c r="F117" s="18">
        <f>IF(OR($A117="",$D117=""),"",IF($D117&lt;='00-Parametros'!$C$20,"Estoque Premium",IF($D117&lt;='00-Parametros'!$C$21,"Estoque Saudável",IF($D117&lt;='00-Parametros'!$C$22,"Estoque Atenção","Estoque Crítico"))))</f>
        <v/>
      </c>
      <c r="G117" s="15">
        <f>IF(OR($A117="",$D117=""),"",IF($D117&lt;='00-Parametros'!$C$17,IFERROR(INDEX('06-Precificacao'!$H$4:$H$123,MATCH($A117,'06-Precificacao'!$A$4:$A$123,0)),0),IF($D117&lt;='00-Parametros'!$C$18,IFERROR(INDEX('06-Precificacao'!$I$4:$I$123,MATCH($A117,'06-Precificacao'!$A$4:$A$123,0)),0),IFERROR(INDEX('06-Precificacao'!$J$4:$J$123,MATCH($A117,'06-Precificacao'!$A$4:$A$123,0)),0))))</f>
        <v/>
      </c>
      <c r="H117" s="15">
        <f>IF(OR($A117="",$C117=""),"",IF($C117&lt;&gt;"Vendida",IFERROR(INDEX('01-Cadastro-Motos'!$I$4:$I$123,MATCH($A117,'01-Cadastro-Motos'!$A$4:$A$123,0)),""),0))</f>
        <v/>
      </c>
      <c r="I117" s="18">
        <f>IF(OR($A117="",$D117=""),"",IF($D117&gt;'00-Parametros'!$C$19,"SIM - ver Pilar 10.4","Não"))</f>
        <v/>
      </c>
    </row>
    <row r="118">
      <c r="A118" s="18">
        <f>IF('01-Cadastro-Motos'!$A118="","",'01-Cadastro-Motos'!$A118)</f>
        <v/>
      </c>
      <c r="B118" s="18">
        <f>IF($A118="","",IFERROR(INDEX('01-Cadastro-Motos'!$B$4:$B$123,MATCH($A118,'01-Cadastro-Motos'!$A$4:$A$123,0)),""))</f>
        <v/>
      </c>
      <c r="C118" s="18">
        <f>IF($A118="","",IFERROR(INDEX('01-Cadastro-Motos'!$K$4:$K$123,MATCH($A118,'01-Cadastro-Motos'!$A$4:$A$123,0)),""))</f>
        <v/>
      </c>
      <c r="D118" s="22">
        <f>IF($A118="","",IFERROR(INDEX('01-Cadastro-Motos'!$P$4:$P$123,MATCH($A118,'01-Cadastro-Motos'!$A$4:$A$123,0)),""))</f>
        <v/>
      </c>
      <c r="E118" s="18">
        <f>IF(OR($A118="",$D118=""),"",IF($D118&lt;='00-Parametros'!$C$17,"Fase 1 - Lançamento (0-30)",IF($D118&lt;='00-Parametros'!$C$18,"Fase 2 - Consolidação (31-60)",IF($D118&lt;='00-Parametros'!$C$19,"Fase 3 - Aceleração de Giro (61-90)","Fase 4 - Estoque Envelhecido (&gt;90)"))))</f>
        <v/>
      </c>
      <c r="F118" s="18">
        <f>IF(OR($A118="",$D118=""),"",IF($D118&lt;='00-Parametros'!$C$20,"Estoque Premium",IF($D118&lt;='00-Parametros'!$C$21,"Estoque Saudável",IF($D118&lt;='00-Parametros'!$C$22,"Estoque Atenção","Estoque Crítico"))))</f>
        <v/>
      </c>
      <c r="G118" s="15">
        <f>IF(OR($A118="",$D118=""),"",IF($D118&lt;='00-Parametros'!$C$17,IFERROR(INDEX('06-Precificacao'!$H$4:$H$123,MATCH($A118,'06-Precificacao'!$A$4:$A$123,0)),0),IF($D118&lt;='00-Parametros'!$C$18,IFERROR(INDEX('06-Precificacao'!$I$4:$I$123,MATCH($A118,'06-Precificacao'!$A$4:$A$123,0)),0),IFERROR(INDEX('06-Precificacao'!$J$4:$J$123,MATCH($A118,'06-Precificacao'!$A$4:$A$123,0)),0))))</f>
        <v/>
      </c>
      <c r="H118" s="15">
        <f>IF(OR($A118="",$C118=""),"",IF($C118&lt;&gt;"Vendida",IFERROR(INDEX('01-Cadastro-Motos'!$I$4:$I$123,MATCH($A118,'01-Cadastro-Motos'!$A$4:$A$123,0)),""),0))</f>
        <v/>
      </c>
      <c r="I118" s="18">
        <f>IF(OR($A118="",$D118=""),"",IF($D118&gt;'00-Parametros'!$C$19,"SIM - ver Pilar 10.4","Não"))</f>
        <v/>
      </c>
    </row>
    <row r="119">
      <c r="A119" s="18">
        <f>IF('01-Cadastro-Motos'!$A119="","",'01-Cadastro-Motos'!$A119)</f>
        <v/>
      </c>
      <c r="B119" s="18">
        <f>IF($A119="","",IFERROR(INDEX('01-Cadastro-Motos'!$B$4:$B$123,MATCH($A119,'01-Cadastro-Motos'!$A$4:$A$123,0)),""))</f>
        <v/>
      </c>
      <c r="C119" s="18">
        <f>IF($A119="","",IFERROR(INDEX('01-Cadastro-Motos'!$K$4:$K$123,MATCH($A119,'01-Cadastro-Motos'!$A$4:$A$123,0)),""))</f>
        <v/>
      </c>
      <c r="D119" s="22">
        <f>IF($A119="","",IFERROR(INDEX('01-Cadastro-Motos'!$P$4:$P$123,MATCH($A119,'01-Cadastro-Motos'!$A$4:$A$123,0)),""))</f>
        <v/>
      </c>
      <c r="E119" s="18">
        <f>IF(OR($A119="",$D119=""),"",IF($D119&lt;='00-Parametros'!$C$17,"Fase 1 - Lançamento (0-30)",IF($D119&lt;='00-Parametros'!$C$18,"Fase 2 - Consolidação (31-60)",IF($D119&lt;='00-Parametros'!$C$19,"Fase 3 - Aceleração de Giro (61-90)","Fase 4 - Estoque Envelhecido (&gt;90)"))))</f>
        <v/>
      </c>
      <c r="F119" s="18">
        <f>IF(OR($A119="",$D119=""),"",IF($D119&lt;='00-Parametros'!$C$20,"Estoque Premium",IF($D119&lt;='00-Parametros'!$C$21,"Estoque Saudável",IF($D119&lt;='00-Parametros'!$C$22,"Estoque Atenção","Estoque Crítico"))))</f>
        <v/>
      </c>
      <c r="G119" s="15">
        <f>IF(OR($A119="",$D119=""),"",IF($D119&lt;='00-Parametros'!$C$17,IFERROR(INDEX('06-Precificacao'!$H$4:$H$123,MATCH($A119,'06-Precificacao'!$A$4:$A$123,0)),0),IF($D119&lt;='00-Parametros'!$C$18,IFERROR(INDEX('06-Precificacao'!$I$4:$I$123,MATCH($A119,'06-Precificacao'!$A$4:$A$123,0)),0),IFERROR(INDEX('06-Precificacao'!$J$4:$J$123,MATCH($A119,'06-Precificacao'!$A$4:$A$123,0)),0))))</f>
        <v/>
      </c>
      <c r="H119" s="15">
        <f>IF(OR($A119="",$C119=""),"",IF($C119&lt;&gt;"Vendida",IFERROR(INDEX('01-Cadastro-Motos'!$I$4:$I$123,MATCH($A119,'01-Cadastro-Motos'!$A$4:$A$123,0)),""),0))</f>
        <v/>
      </c>
      <c r="I119" s="18">
        <f>IF(OR($A119="",$D119=""),"",IF($D119&gt;'00-Parametros'!$C$19,"SIM - ver Pilar 10.4","Não"))</f>
        <v/>
      </c>
    </row>
    <row r="120">
      <c r="A120" s="18">
        <f>IF('01-Cadastro-Motos'!$A120="","",'01-Cadastro-Motos'!$A120)</f>
        <v/>
      </c>
      <c r="B120" s="18">
        <f>IF($A120="","",IFERROR(INDEX('01-Cadastro-Motos'!$B$4:$B$123,MATCH($A120,'01-Cadastro-Motos'!$A$4:$A$123,0)),""))</f>
        <v/>
      </c>
      <c r="C120" s="18">
        <f>IF($A120="","",IFERROR(INDEX('01-Cadastro-Motos'!$K$4:$K$123,MATCH($A120,'01-Cadastro-Motos'!$A$4:$A$123,0)),""))</f>
        <v/>
      </c>
      <c r="D120" s="22">
        <f>IF($A120="","",IFERROR(INDEX('01-Cadastro-Motos'!$P$4:$P$123,MATCH($A120,'01-Cadastro-Motos'!$A$4:$A$123,0)),""))</f>
        <v/>
      </c>
      <c r="E120" s="18">
        <f>IF(OR($A120="",$D120=""),"",IF($D120&lt;='00-Parametros'!$C$17,"Fase 1 - Lançamento (0-30)",IF($D120&lt;='00-Parametros'!$C$18,"Fase 2 - Consolidação (31-60)",IF($D120&lt;='00-Parametros'!$C$19,"Fase 3 - Aceleração de Giro (61-90)","Fase 4 - Estoque Envelhecido (&gt;90)"))))</f>
        <v/>
      </c>
      <c r="F120" s="18">
        <f>IF(OR($A120="",$D120=""),"",IF($D120&lt;='00-Parametros'!$C$20,"Estoque Premium",IF($D120&lt;='00-Parametros'!$C$21,"Estoque Saudável",IF($D120&lt;='00-Parametros'!$C$22,"Estoque Atenção","Estoque Crítico"))))</f>
        <v/>
      </c>
      <c r="G120" s="15">
        <f>IF(OR($A120="",$D120=""),"",IF($D120&lt;='00-Parametros'!$C$17,IFERROR(INDEX('06-Precificacao'!$H$4:$H$123,MATCH($A120,'06-Precificacao'!$A$4:$A$123,0)),0),IF($D120&lt;='00-Parametros'!$C$18,IFERROR(INDEX('06-Precificacao'!$I$4:$I$123,MATCH($A120,'06-Precificacao'!$A$4:$A$123,0)),0),IFERROR(INDEX('06-Precificacao'!$J$4:$J$123,MATCH($A120,'06-Precificacao'!$A$4:$A$123,0)),0))))</f>
        <v/>
      </c>
      <c r="H120" s="15">
        <f>IF(OR($A120="",$C120=""),"",IF($C120&lt;&gt;"Vendida",IFERROR(INDEX('01-Cadastro-Motos'!$I$4:$I$123,MATCH($A120,'01-Cadastro-Motos'!$A$4:$A$123,0)),""),0))</f>
        <v/>
      </c>
      <c r="I120" s="18">
        <f>IF(OR($A120="",$D120=""),"",IF($D120&gt;'00-Parametros'!$C$19,"SIM - ver Pilar 10.4","Não"))</f>
        <v/>
      </c>
    </row>
    <row r="121">
      <c r="A121" s="18">
        <f>IF('01-Cadastro-Motos'!$A121="","",'01-Cadastro-Motos'!$A121)</f>
        <v/>
      </c>
      <c r="B121" s="18">
        <f>IF($A121="","",IFERROR(INDEX('01-Cadastro-Motos'!$B$4:$B$123,MATCH($A121,'01-Cadastro-Motos'!$A$4:$A$123,0)),""))</f>
        <v/>
      </c>
      <c r="C121" s="18">
        <f>IF($A121="","",IFERROR(INDEX('01-Cadastro-Motos'!$K$4:$K$123,MATCH($A121,'01-Cadastro-Motos'!$A$4:$A$123,0)),""))</f>
        <v/>
      </c>
      <c r="D121" s="22">
        <f>IF($A121="","",IFERROR(INDEX('01-Cadastro-Motos'!$P$4:$P$123,MATCH($A121,'01-Cadastro-Motos'!$A$4:$A$123,0)),""))</f>
        <v/>
      </c>
      <c r="E121" s="18">
        <f>IF(OR($A121="",$D121=""),"",IF($D121&lt;='00-Parametros'!$C$17,"Fase 1 - Lançamento (0-30)",IF($D121&lt;='00-Parametros'!$C$18,"Fase 2 - Consolidação (31-60)",IF($D121&lt;='00-Parametros'!$C$19,"Fase 3 - Aceleração de Giro (61-90)","Fase 4 - Estoque Envelhecido (&gt;90)"))))</f>
        <v/>
      </c>
      <c r="F121" s="18">
        <f>IF(OR($A121="",$D121=""),"",IF($D121&lt;='00-Parametros'!$C$20,"Estoque Premium",IF($D121&lt;='00-Parametros'!$C$21,"Estoque Saudável",IF($D121&lt;='00-Parametros'!$C$22,"Estoque Atenção","Estoque Crítico"))))</f>
        <v/>
      </c>
      <c r="G121" s="15">
        <f>IF(OR($A121="",$D121=""),"",IF($D121&lt;='00-Parametros'!$C$17,IFERROR(INDEX('06-Precificacao'!$H$4:$H$123,MATCH($A121,'06-Precificacao'!$A$4:$A$123,0)),0),IF($D121&lt;='00-Parametros'!$C$18,IFERROR(INDEX('06-Precificacao'!$I$4:$I$123,MATCH($A121,'06-Precificacao'!$A$4:$A$123,0)),0),IFERROR(INDEX('06-Precificacao'!$J$4:$J$123,MATCH($A121,'06-Precificacao'!$A$4:$A$123,0)),0))))</f>
        <v/>
      </c>
      <c r="H121" s="15">
        <f>IF(OR($A121="",$C121=""),"",IF($C121&lt;&gt;"Vendida",IFERROR(INDEX('01-Cadastro-Motos'!$I$4:$I$123,MATCH($A121,'01-Cadastro-Motos'!$A$4:$A$123,0)),""),0))</f>
        <v/>
      </c>
      <c r="I121" s="18">
        <f>IF(OR($A121="",$D121=""),"",IF($D121&gt;'00-Parametros'!$C$19,"SIM - ver Pilar 10.4","Não"))</f>
        <v/>
      </c>
    </row>
    <row r="122">
      <c r="A122" s="18">
        <f>IF('01-Cadastro-Motos'!$A122="","",'01-Cadastro-Motos'!$A122)</f>
        <v/>
      </c>
      <c r="B122" s="18">
        <f>IF($A122="","",IFERROR(INDEX('01-Cadastro-Motos'!$B$4:$B$123,MATCH($A122,'01-Cadastro-Motos'!$A$4:$A$123,0)),""))</f>
        <v/>
      </c>
      <c r="C122" s="18">
        <f>IF($A122="","",IFERROR(INDEX('01-Cadastro-Motos'!$K$4:$K$123,MATCH($A122,'01-Cadastro-Motos'!$A$4:$A$123,0)),""))</f>
        <v/>
      </c>
      <c r="D122" s="22">
        <f>IF($A122="","",IFERROR(INDEX('01-Cadastro-Motos'!$P$4:$P$123,MATCH($A122,'01-Cadastro-Motos'!$A$4:$A$123,0)),""))</f>
        <v/>
      </c>
      <c r="E122" s="18">
        <f>IF(OR($A122="",$D122=""),"",IF($D122&lt;='00-Parametros'!$C$17,"Fase 1 - Lançamento (0-30)",IF($D122&lt;='00-Parametros'!$C$18,"Fase 2 - Consolidação (31-60)",IF($D122&lt;='00-Parametros'!$C$19,"Fase 3 - Aceleração de Giro (61-90)","Fase 4 - Estoque Envelhecido (&gt;90)"))))</f>
        <v/>
      </c>
      <c r="F122" s="18">
        <f>IF(OR($A122="",$D122=""),"",IF($D122&lt;='00-Parametros'!$C$20,"Estoque Premium",IF($D122&lt;='00-Parametros'!$C$21,"Estoque Saudável",IF($D122&lt;='00-Parametros'!$C$22,"Estoque Atenção","Estoque Crítico"))))</f>
        <v/>
      </c>
      <c r="G122" s="15">
        <f>IF(OR($A122="",$D122=""),"",IF($D122&lt;='00-Parametros'!$C$17,IFERROR(INDEX('06-Precificacao'!$H$4:$H$123,MATCH($A122,'06-Precificacao'!$A$4:$A$123,0)),0),IF($D122&lt;='00-Parametros'!$C$18,IFERROR(INDEX('06-Precificacao'!$I$4:$I$123,MATCH($A122,'06-Precificacao'!$A$4:$A$123,0)),0),IFERROR(INDEX('06-Precificacao'!$J$4:$J$123,MATCH($A122,'06-Precificacao'!$A$4:$A$123,0)),0))))</f>
        <v/>
      </c>
      <c r="H122" s="15">
        <f>IF(OR($A122="",$C122=""),"",IF($C122&lt;&gt;"Vendida",IFERROR(INDEX('01-Cadastro-Motos'!$I$4:$I$123,MATCH($A122,'01-Cadastro-Motos'!$A$4:$A$123,0)),""),0))</f>
        <v/>
      </c>
      <c r="I122" s="18">
        <f>IF(OR($A122="",$D122=""),"",IF($D122&gt;'00-Parametros'!$C$19,"SIM - ver Pilar 10.4","Não"))</f>
        <v/>
      </c>
    </row>
    <row r="123">
      <c r="A123" s="18">
        <f>IF('01-Cadastro-Motos'!$A123="","",'01-Cadastro-Motos'!$A123)</f>
        <v/>
      </c>
      <c r="B123" s="18">
        <f>IF($A123="","",IFERROR(INDEX('01-Cadastro-Motos'!$B$4:$B$123,MATCH($A123,'01-Cadastro-Motos'!$A$4:$A$123,0)),""))</f>
        <v/>
      </c>
      <c r="C123" s="18">
        <f>IF($A123="","",IFERROR(INDEX('01-Cadastro-Motos'!$K$4:$K$123,MATCH($A123,'01-Cadastro-Motos'!$A$4:$A$123,0)),""))</f>
        <v/>
      </c>
      <c r="D123" s="22">
        <f>IF($A123="","",IFERROR(INDEX('01-Cadastro-Motos'!$P$4:$P$123,MATCH($A123,'01-Cadastro-Motos'!$A$4:$A$123,0)),""))</f>
        <v/>
      </c>
      <c r="E123" s="18">
        <f>IF(OR($A123="",$D123=""),"",IF($D123&lt;='00-Parametros'!$C$17,"Fase 1 - Lançamento (0-30)",IF($D123&lt;='00-Parametros'!$C$18,"Fase 2 - Consolidação (31-60)",IF($D123&lt;='00-Parametros'!$C$19,"Fase 3 - Aceleração de Giro (61-90)","Fase 4 - Estoque Envelhecido (&gt;90)"))))</f>
        <v/>
      </c>
      <c r="F123" s="18">
        <f>IF(OR($A123="",$D123=""),"",IF($D123&lt;='00-Parametros'!$C$20,"Estoque Premium",IF($D123&lt;='00-Parametros'!$C$21,"Estoque Saudável",IF($D123&lt;='00-Parametros'!$C$22,"Estoque Atenção","Estoque Crítico"))))</f>
        <v/>
      </c>
      <c r="G123" s="15">
        <f>IF(OR($A123="",$D123=""),"",IF($D123&lt;='00-Parametros'!$C$17,IFERROR(INDEX('06-Precificacao'!$H$4:$H$123,MATCH($A123,'06-Precificacao'!$A$4:$A$123,0)),0),IF($D123&lt;='00-Parametros'!$C$18,IFERROR(INDEX('06-Precificacao'!$I$4:$I$123,MATCH($A123,'06-Precificacao'!$A$4:$A$123,0)),0),IFERROR(INDEX('06-Precificacao'!$J$4:$J$123,MATCH($A123,'06-Precificacao'!$A$4:$A$123,0)),0))))</f>
        <v/>
      </c>
      <c r="H123" s="15">
        <f>IF(OR($A123="",$C123=""),"",IF($C123&lt;&gt;"Vendida",IFERROR(INDEX('01-Cadastro-Motos'!$I$4:$I$123,MATCH($A123,'01-Cadastro-Motos'!$A$4:$A$123,0)),""),0))</f>
        <v/>
      </c>
      <c r="I123" s="18">
        <f>IF(OR($A123="",$D123=""),"",IF($D123&gt;'00-Parametros'!$C$19,"SIM - ver Pilar 10.4","Não"))</f>
        <v/>
      </c>
    </row>
  </sheetData>
  <conditionalFormatting sqref="F4:F123">
    <cfRule type="cellIs" priority="1" operator="equal" dxfId="1">
      <formula>"Estoque Crítico"</formula>
    </cfRule>
    <cfRule type="cellIs" priority="2" operator="equal" dxfId="2">
      <formula>"Estoque Premium"</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23"/>
  <sheetViews>
    <sheetView workbookViewId="0">
      <pane ySplit="3" topLeftCell="A4" activePane="bottomLeft" state="frozen"/>
      <selection pane="bottomLeft" activeCell="A1" sqref="A1"/>
    </sheetView>
  </sheetViews>
  <sheetFormatPr baseColWidth="8" defaultRowHeight="15" outlineLevelCol="0"/>
  <cols>
    <col width="12" customWidth="1" min="1" max="1"/>
    <col width="22" customWidth="1" min="2" max="2"/>
    <col width="14" customWidth="1" min="3" max="3"/>
    <col width="14" customWidth="1" min="4" max="4"/>
    <col width="14" customWidth="1" min="5" max="5"/>
    <col width="14" customWidth="1" min="6" max="6"/>
    <col width="12" customWidth="1" min="7" max="7"/>
    <col width="12" customWidth="1" min="8" max="8"/>
    <col width="14" customWidth="1" min="9" max="9"/>
    <col width="12" customWidth="1" min="10" max="10"/>
    <col width="16" customWidth="1" min="11" max="11"/>
    <col width="14" customWidth="1" min="12" max="12"/>
  </cols>
  <sheetData>
    <row r="1">
      <c r="A1" s="1" t="inlineStr">
        <is>
          <t>Registro de Vendas e Negociação (Pilares 6 e 7)</t>
        </is>
      </c>
    </row>
    <row r="3">
      <c r="A3" s="4" t="inlineStr">
        <is>
          <t>ID Moto</t>
        </is>
      </c>
      <c r="B3" s="4" t="inlineStr">
        <is>
          <t>Modelo (auto)</t>
        </is>
      </c>
      <c r="C3" s="4" t="inlineStr">
        <is>
          <t>ID Vendedor</t>
        </is>
      </c>
      <c r="D3" s="4" t="inlineStr">
        <is>
          <t>Data Venda</t>
        </is>
      </c>
      <c r="E3" s="4" t="inlineStr">
        <is>
          <t>Preço Comercial (auto)</t>
        </is>
      </c>
      <c r="F3" s="4" t="inlineStr">
        <is>
          <t>LP (auto)</t>
        </is>
      </c>
      <c r="G3" s="4" t="inlineStr">
        <is>
          <t>Preço Vendido (R$)</t>
        </is>
      </c>
      <c r="H3" s="4" t="inlineStr">
        <is>
          <t>Desconto (R$)</t>
        </is>
      </c>
      <c r="I3" s="4" t="inlineStr">
        <is>
          <t>Desconto (%)</t>
        </is>
      </c>
      <c r="J3" s="4" t="inlineStr">
        <is>
          <t>Abaixo do LP?</t>
        </is>
      </c>
      <c r="K3" s="4" t="inlineStr">
        <is>
          <t>Lucro Líquido Real (R$)</t>
        </is>
      </c>
      <c r="L3" s="4" t="inlineStr">
        <is>
          <t>Margem Líquida Realizada (%)</t>
        </is>
      </c>
    </row>
    <row r="4">
      <c r="A4" s="16" t="inlineStr">
        <is>
          <t>MOTO-002</t>
        </is>
      </c>
      <c r="B4" s="5">
        <f>IF($A4="","",IFERROR(INDEX('01-Cadastro-Motos'!$B$4:$B$123,MATCH($A4,'01-Cadastro-Motos'!$A$4:$A$123,0)),""))</f>
        <v/>
      </c>
      <c r="C4" s="16" t="inlineStr">
        <is>
          <t>VEND-02</t>
        </is>
      </c>
      <c r="D4" s="23" t="n">
        <v>46187</v>
      </c>
      <c r="E4" s="14">
        <f>IF($A4="","",IFERROR(INDEX('06-Precificacao'!$I$4:$I$123,MATCH($A4,'06-Precificacao'!$A$4:$A$123,0)),0))</f>
        <v/>
      </c>
      <c r="F4" s="14">
        <f>IF($A4="","",IFERROR(INDEX('06-Precificacao'!$K$4:$K$123,MATCH($A4,'06-Precificacao'!$A$4:$A$123,0)),0))</f>
        <v/>
      </c>
      <c r="G4" s="9" t="n">
        <v>16000</v>
      </c>
      <c r="H4" s="14">
        <f>IF(OR($A4="",$G4=""),"",$E4-$G4)</f>
        <v/>
      </c>
      <c r="I4" s="17">
        <f>IF(OR($A4="",$G4="",$E4=0),"",$H4/$E4)</f>
        <v/>
      </c>
      <c r="J4" s="5">
        <f>IF(OR($A4="",$G4=""),"",IF($G4&lt;$F4,"SIM - abaixo do LP","Não"))</f>
        <v/>
      </c>
      <c r="K4" s="14">
        <f>IF(OR($A4="",$G4=""),"",$G4-(IFERROR(INDEX('06-Precificacao'!$G$4:$G$123,MATCH($A4,'06-Precificacao'!$A$4:$A$123,0)),0)-IFERROR(INDEX('06-Precificacao'!$E$4:$E$123,MATCH($A4,'06-Precificacao'!$A$4:$A$123,0)),0)+IFERROR(INDEX('05-Financeiro'!$E$4:$E$123,MATCH($A4,'05-Financeiro'!$A$4:$A$123,0)),0))-($G4*'00-Parametros'!$C$9)-($G4*'00-Parametros'!$C$10)-IFERROR(INDEX('03-Marketing'!$C$4:$C$123,MATCH($A4,'03-Marketing'!$A$4:$A$123,0)),0)-($G4*'00-Parametros'!$C$12))</f>
        <v/>
      </c>
      <c r="L4" s="17">
        <f>IF(OR($A4="",$G4="",$G4=0),"",$K4/$G4)</f>
        <v/>
      </c>
    </row>
    <row r="5">
      <c r="A5" s="16" t="n"/>
      <c r="B5" s="5">
        <f>IF($A5="","",IFERROR(INDEX('01-Cadastro-Motos'!$B$4:$B$123,MATCH($A5,'01-Cadastro-Motos'!$A$4:$A$123,0)),""))</f>
        <v/>
      </c>
      <c r="C5" s="16" t="n"/>
      <c r="D5" s="23" t="n"/>
      <c r="E5" s="14">
        <f>IF($A5="","",IFERROR(INDEX('06-Precificacao'!$I$4:$I$123,MATCH($A5,'06-Precificacao'!$A$4:$A$123,0)),0))</f>
        <v/>
      </c>
      <c r="F5" s="14">
        <f>IF($A5="","",IFERROR(INDEX('06-Precificacao'!$K$4:$K$123,MATCH($A5,'06-Precificacao'!$A$4:$A$123,0)),0))</f>
        <v/>
      </c>
      <c r="G5" s="9" t="n"/>
      <c r="H5" s="14">
        <f>IF(OR($A5="",$G5=""),"",$E5-$G5)</f>
        <v/>
      </c>
      <c r="I5" s="17">
        <f>IF(OR($A5="",$G5="",$E5=0),"",$H5/$E5)</f>
        <v/>
      </c>
      <c r="J5" s="5">
        <f>IF(OR($A5="",$G5=""),"",IF($G5&lt;$F5,"SIM - abaixo do LP","Não"))</f>
        <v/>
      </c>
      <c r="K5" s="14">
        <f>IF(OR($A5="",$G5=""),"",$G5-(IFERROR(INDEX('06-Precificacao'!$G$4:$G$123,MATCH($A5,'06-Precificacao'!$A$4:$A$123,0)),0)-IFERROR(INDEX('06-Precificacao'!$E$4:$E$123,MATCH($A5,'06-Precificacao'!$A$4:$A$123,0)),0)+IFERROR(INDEX('05-Financeiro'!$E$4:$E$123,MATCH($A5,'05-Financeiro'!$A$4:$A$123,0)),0))-($G5*'00-Parametros'!$C$9)-($G5*'00-Parametros'!$C$10)-IFERROR(INDEX('03-Marketing'!$C$4:$C$123,MATCH($A5,'03-Marketing'!$A$4:$A$123,0)),0)-($G5*'00-Parametros'!$C$12))</f>
        <v/>
      </c>
      <c r="L5" s="17">
        <f>IF(OR($A5="",$G5="",$G5=0),"",$K5/$G5)</f>
        <v/>
      </c>
    </row>
    <row r="6">
      <c r="A6" s="16" t="n"/>
      <c r="B6" s="5">
        <f>IF($A6="","",IFERROR(INDEX('01-Cadastro-Motos'!$B$4:$B$123,MATCH($A6,'01-Cadastro-Motos'!$A$4:$A$123,0)),""))</f>
        <v/>
      </c>
      <c r="C6" s="16" t="n"/>
      <c r="D6" s="23" t="n"/>
      <c r="E6" s="14">
        <f>IF($A6="","",IFERROR(INDEX('06-Precificacao'!$I$4:$I$123,MATCH($A6,'06-Precificacao'!$A$4:$A$123,0)),0))</f>
        <v/>
      </c>
      <c r="F6" s="14">
        <f>IF($A6="","",IFERROR(INDEX('06-Precificacao'!$K$4:$K$123,MATCH($A6,'06-Precificacao'!$A$4:$A$123,0)),0))</f>
        <v/>
      </c>
      <c r="G6" s="9" t="n"/>
      <c r="H6" s="14">
        <f>IF(OR($A6="",$G6=""),"",$E6-$G6)</f>
        <v/>
      </c>
      <c r="I6" s="17">
        <f>IF(OR($A6="",$G6="",$E6=0),"",$H6/$E6)</f>
        <v/>
      </c>
      <c r="J6" s="5">
        <f>IF(OR($A6="",$G6=""),"",IF($G6&lt;$F6,"SIM - abaixo do LP","Não"))</f>
        <v/>
      </c>
      <c r="K6" s="14">
        <f>IF(OR($A6="",$G6=""),"",$G6-(IFERROR(INDEX('06-Precificacao'!$G$4:$G$123,MATCH($A6,'06-Precificacao'!$A$4:$A$123,0)),0)-IFERROR(INDEX('06-Precificacao'!$E$4:$E$123,MATCH($A6,'06-Precificacao'!$A$4:$A$123,0)),0)+IFERROR(INDEX('05-Financeiro'!$E$4:$E$123,MATCH($A6,'05-Financeiro'!$A$4:$A$123,0)),0))-($G6*'00-Parametros'!$C$9)-($G6*'00-Parametros'!$C$10)-IFERROR(INDEX('03-Marketing'!$C$4:$C$123,MATCH($A6,'03-Marketing'!$A$4:$A$123,0)),0)-($G6*'00-Parametros'!$C$12))</f>
        <v/>
      </c>
      <c r="L6" s="17">
        <f>IF(OR($A6="",$G6="",$G6=0),"",$K6/$G6)</f>
        <v/>
      </c>
    </row>
    <row r="7">
      <c r="A7" s="16" t="n"/>
      <c r="B7" s="5">
        <f>IF($A7="","",IFERROR(INDEX('01-Cadastro-Motos'!$B$4:$B$123,MATCH($A7,'01-Cadastro-Motos'!$A$4:$A$123,0)),""))</f>
        <v/>
      </c>
      <c r="C7" s="16" t="n"/>
      <c r="D7" s="23" t="n"/>
      <c r="E7" s="14">
        <f>IF($A7="","",IFERROR(INDEX('06-Precificacao'!$I$4:$I$123,MATCH($A7,'06-Precificacao'!$A$4:$A$123,0)),0))</f>
        <v/>
      </c>
      <c r="F7" s="14">
        <f>IF($A7="","",IFERROR(INDEX('06-Precificacao'!$K$4:$K$123,MATCH($A7,'06-Precificacao'!$A$4:$A$123,0)),0))</f>
        <v/>
      </c>
      <c r="G7" s="9" t="n"/>
      <c r="H7" s="14">
        <f>IF(OR($A7="",$G7=""),"",$E7-$G7)</f>
        <v/>
      </c>
      <c r="I7" s="17">
        <f>IF(OR($A7="",$G7="",$E7=0),"",$H7/$E7)</f>
        <v/>
      </c>
      <c r="J7" s="5">
        <f>IF(OR($A7="",$G7=""),"",IF($G7&lt;$F7,"SIM - abaixo do LP","Não"))</f>
        <v/>
      </c>
      <c r="K7" s="14">
        <f>IF(OR($A7="",$G7=""),"",$G7-(IFERROR(INDEX('06-Precificacao'!$G$4:$G$123,MATCH($A7,'06-Precificacao'!$A$4:$A$123,0)),0)-IFERROR(INDEX('06-Precificacao'!$E$4:$E$123,MATCH($A7,'06-Precificacao'!$A$4:$A$123,0)),0)+IFERROR(INDEX('05-Financeiro'!$E$4:$E$123,MATCH($A7,'05-Financeiro'!$A$4:$A$123,0)),0))-($G7*'00-Parametros'!$C$9)-($G7*'00-Parametros'!$C$10)-IFERROR(INDEX('03-Marketing'!$C$4:$C$123,MATCH($A7,'03-Marketing'!$A$4:$A$123,0)),0)-($G7*'00-Parametros'!$C$12))</f>
        <v/>
      </c>
      <c r="L7" s="17">
        <f>IF(OR($A7="",$G7="",$G7=0),"",$K7/$G7)</f>
        <v/>
      </c>
    </row>
    <row r="8">
      <c r="A8" s="16" t="n"/>
      <c r="B8" s="5">
        <f>IF($A8="","",IFERROR(INDEX('01-Cadastro-Motos'!$B$4:$B$123,MATCH($A8,'01-Cadastro-Motos'!$A$4:$A$123,0)),""))</f>
        <v/>
      </c>
      <c r="C8" s="16" t="n"/>
      <c r="D8" s="23" t="n"/>
      <c r="E8" s="14">
        <f>IF($A8="","",IFERROR(INDEX('06-Precificacao'!$I$4:$I$123,MATCH($A8,'06-Precificacao'!$A$4:$A$123,0)),0))</f>
        <v/>
      </c>
      <c r="F8" s="14">
        <f>IF($A8="","",IFERROR(INDEX('06-Precificacao'!$K$4:$K$123,MATCH($A8,'06-Precificacao'!$A$4:$A$123,0)),0))</f>
        <v/>
      </c>
      <c r="G8" s="9" t="n"/>
      <c r="H8" s="14">
        <f>IF(OR($A8="",$G8=""),"",$E8-$G8)</f>
        <v/>
      </c>
      <c r="I8" s="17">
        <f>IF(OR($A8="",$G8="",$E8=0),"",$H8/$E8)</f>
        <v/>
      </c>
      <c r="J8" s="5">
        <f>IF(OR($A8="",$G8=""),"",IF($G8&lt;$F8,"SIM - abaixo do LP","Não"))</f>
        <v/>
      </c>
      <c r="K8" s="14">
        <f>IF(OR($A8="",$G8=""),"",$G8-(IFERROR(INDEX('06-Precificacao'!$G$4:$G$123,MATCH($A8,'06-Precificacao'!$A$4:$A$123,0)),0)-IFERROR(INDEX('06-Precificacao'!$E$4:$E$123,MATCH($A8,'06-Precificacao'!$A$4:$A$123,0)),0)+IFERROR(INDEX('05-Financeiro'!$E$4:$E$123,MATCH($A8,'05-Financeiro'!$A$4:$A$123,0)),0))-($G8*'00-Parametros'!$C$9)-($G8*'00-Parametros'!$C$10)-IFERROR(INDEX('03-Marketing'!$C$4:$C$123,MATCH($A8,'03-Marketing'!$A$4:$A$123,0)),0)-($G8*'00-Parametros'!$C$12))</f>
        <v/>
      </c>
      <c r="L8" s="17">
        <f>IF(OR($A8="",$G8="",$G8=0),"",$K8/$G8)</f>
        <v/>
      </c>
    </row>
    <row r="9">
      <c r="A9" s="16" t="n"/>
      <c r="B9" s="5">
        <f>IF($A9="","",IFERROR(INDEX('01-Cadastro-Motos'!$B$4:$B$123,MATCH($A9,'01-Cadastro-Motos'!$A$4:$A$123,0)),""))</f>
        <v/>
      </c>
      <c r="C9" s="16" t="n"/>
      <c r="D9" s="23" t="n"/>
      <c r="E9" s="14">
        <f>IF($A9="","",IFERROR(INDEX('06-Precificacao'!$I$4:$I$123,MATCH($A9,'06-Precificacao'!$A$4:$A$123,0)),0))</f>
        <v/>
      </c>
      <c r="F9" s="14">
        <f>IF($A9="","",IFERROR(INDEX('06-Precificacao'!$K$4:$K$123,MATCH($A9,'06-Precificacao'!$A$4:$A$123,0)),0))</f>
        <v/>
      </c>
      <c r="G9" s="9" t="n"/>
      <c r="H9" s="14">
        <f>IF(OR($A9="",$G9=""),"",$E9-$G9)</f>
        <v/>
      </c>
      <c r="I9" s="17">
        <f>IF(OR($A9="",$G9="",$E9=0),"",$H9/$E9)</f>
        <v/>
      </c>
      <c r="J9" s="5">
        <f>IF(OR($A9="",$G9=""),"",IF($G9&lt;$F9,"SIM - abaixo do LP","Não"))</f>
        <v/>
      </c>
      <c r="K9" s="14">
        <f>IF(OR($A9="",$G9=""),"",$G9-(IFERROR(INDEX('06-Precificacao'!$G$4:$G$123,MATCH($A9,'06-Precificacao'!$A$4:$A$123,0)),0)-IFERROR(INDEX('06-Precificacao'!$E$4:$E$123,MATCH($A9,'06-Precificacao'!$A$4:$A$123,0)),0)+IFERROR(INDEX('05-Financeiro'!$E$4:$E$123,MATCH($A9,'05-Financeiro'!$A$4:$A$123,0)),0))-($G9*'00-Parametros'!$C$9)-($G9*'00-Parametros'!$C$10)-IFERROR(INDEX('03-Marketing'!$C$4:$C$123,MATCH($A9,'03-Marketing'!$A$4:$A$123,0)),0)-($G9*'00-Parametros'!$C$12))</f>
        <v/>
      </c>
      <c r="L9" s="17">
        <f>IF(OR($A9="",$G9="",$G9=0),"",$K9/$G9)</f>
        <v/>
      </c>
    </row>
    <row r="10">
      <c r="A10" s="16" t="n"/>
      <c r="B10" s="5">
        <f>IF($A10="","",IFERROR(INDEX('01-Cadastro-Motos'!$B$4:$B$123,MATCH($A10,'01-Cadastro-Motos'!$A$4:$A$123,0)),""))</f>
        <v/>
      </c>
      <c r="C10" s="16" t="n"/>
      <c r="D10" s="23" t="n"/>
      <c r="E10" s="14">
        <f>IF($A10="","",IFERROR(INDEX('06-Precificacao'!$I$4:$I$123,MATCH($A10,'06-Precificacao'!$A$4:$A$123,0)),0))</f>
        <v/>
      </c>
      <c r="F10" s="14">
        <f>IF($A10="","",IFERROR(INDEX('06-Precificacao'!$K$4:$K$123,MATCH($A10,'06-Precificacao'!$A$4:$A$123,0)),0))</f>
        <v/>
      </c>
      <c r="G10" s="9" t="n"/>
      <c r="H10" s="14">
        <f>IF(OR($A10="",$G10=""),"",$E10-$G10)</f>
        <v/>
      </c>
      <c r="I10" s="17">
        <f>IF(OR($A10="",$G10="",$E10=0),"",$H10/$E10)</f>
        <v/>
      </c>
      <c r="J10" s="5">
        <f>IF(OR($A10="",$G10=""),"",IF($G10&lt;$F10,"SIM - abaixo do LP","Não"))</f>
        <v/>
      </c>
      <c r="K10" s="14">
        <f>IF(OR($A10="",$G10=""),"",$G10-(IFERROR(INDEX('06-Precificacao'!$G$4:$G$123,MATCH($A10,'06-Precificacao'!$A$4:$A$123,0)),0)-IFERROR(INDEX('06-Precificacao'!$E$4:$E$123,MATCH($A10,'06-Precificacao'!$A$4:$A$123,0)),0)+IFERROR(INDEX('05-Financeiro'!$E$4:$E$123,MATCH($A10,'05-Financeiro'!$A$4:$A$123,0)),0))-($G10*'00-Parametros'!$C$9)-($G10*'00-Parametros'!$C$10)-IFERROR(INDEX('03-Marketing'!$C$4:$C$123,MATCH($A10,'03-Marketing'!$A$4:$A$123,0)),0)-($G10*'00-Parametros'!$C$12))</f>
        <v/>
      </c>
      <c r="L10" s="17">
        <f>IF(OR($A10="",$G10="",$G10=0),"",$K10/$G10)</f>
        <v/>
      </c>
    </row>
    <row r="11">
      <c r="A11" s="16" t="n"/>
      <c r="B11" s="5">
        <f>IF($A11="","",IFERROR(INDEX('01-Cadastro-Motos'!$B$4:$B$123,MATCH($A11,'01-Cadastro-Motos'!$A$4:$A$123,0)),""))</f>
        <v/>
      </c>
      <c r="C11" s="16" t="n"/>
      <c r="D11" s="23" t="n"/>
      <c r="E11" s="14">
        <f>IF($A11="","",IFERROR(INDEX('06-Precificacao'!$I$4:$I$123,MATCH($A11,'06-Precificacao'!$A$4:$A$123,0)),0))</f>
        <v/>
      </c>
      <c r="F11" s="14">
        <f>IF($A11="","",IFERROR(INDEX('06-Precificacao'!$K$4:$K$123,MATCH($A11,'06-Precificacao'!$A$4:$A$123,0)),0))</f>
        <v/>
      </c>
      <c r="G11" s="9" t="n"/>
      <c r="H11" s="14">
        <f>IF(OR($A11="",$G11=""),"",$E11-$G11)</f>
        <v/>
      </c>
      <c r="I11" s="17">
        <f>IF(OR($A11="",$G11="",$E11=0),"",$H11/$E11)</f>
        <v/>
      </c>
      <c r="J11" s="5">
        <f>IF(OR($A11="",$G11=""),"",IF($G11&lt;$F11,"SIM - abaixo do LP","Não"))</f>
        <v/>
      </c>
      <c r="K11" s="14">
        <f>IF(OR($A11="",$G11=""),"",$G11-(IFERROR(INDEX('06-Precificacao'!$G$4:$G$123,MATCH($A11,'06-Precificacao'!$A$4:$A$123,0)),0)-IFERROR(INDEX('06-Precificacao'!$E$4:$E$123,MATCH($A11,'06-Precificacao'!$A$4:$A$123,0)),0)+IFERROR(INDEX('05-Financeiro'!$E$4:$E$123,MATCH($A11,'05-Financeiro'!$A$4:$A$123,0)),0))-($G11*'00-Parametros'!$C$9)-($G11*'00-Parametros'!$C$10)-IFERROR(INDEX('03-Marketing'!$C$4:$C$123,MATCH($A11,'03-Marketing'!$A$4:$A$123,0)),0)-($G11*'00-Parametros'!$C$12))</f>
        <v/>
      </c>
      <c r="L11" s="17">
        <f>IF(OR($A11="",$G11="",$G11=0),"",$K11/$G11)</f>
        <v/>
      </c>
    </row>
    <row r="12">
      <c r="A12" s="16" t="n"/>
      <c r="B12" s="5">
        <f>IF($A12="","",IFERROR(INDEX('01-Cadastro-Motos'!$B$4:$B$123,MATCH($A12,'01-Cadastro-Motos'!$A$4:$A$123,0)),""))</f>
        <v/>
      </c>
      <c r="C12" s="16" t="n"/>
      <c r="D12" s="23" t="n"/>
      <c r="E12" s="14">
        <f>IF($A12="","",IFERROR(INDEX('06-Precificacao'!$I$4:$I$123,MATCH($A12,'06-Precificacao'!$A$4:$A$123,0)),0))</f>
        <v/>
      </c>
      <c r="F12" s="14">
        <f>IF($A12="","",IFERROR(INDEX('06-Precificacao'!$K$4:$K$123,MATCH($A12,'06-Precificacao'!$A$4:$A$123,0)),0))</f>
        <v/>
      </c>
      <c r="G12" s="9" t="n"/>
      <c r="H12" s="14">
        <f>IF(OR($A12="",$G12=""),"",$E12-$G12)</f>
        <v/>
      </c>
      <c r="I12" s="17">
        <f>IF(OR($A12="",$G12="",$E12=0),"",$H12/$E12)</f>
        <v/>
      </c>
      <c r="J12" s="5">
        <f>IF(OR($A12="",$G12=""),"",IF($G12&lt;$F12,"SIM - abaixo do LP","Não"))</f>
        <v/>
      </c>
      <c r="K12" s="14">
        <f>IF(OR($A12="",$G12=""),"",$G12-(IFERROR(INDEX('06-Precificacao'!$G$4:$G$123,MATCH($A12,'06-Precificacao'!$A$4:$A$123,0)),0)-IFERROR(INDEX('06-Precificacao'!$E$4:$E$123,MATCH($A12,'06-Precificacao'!$A$4:$A$123,0)),0)+IFERROR(INDEX('05-Financeiro'!$E$4:$E$123,MATCH($A12,'05-Financeiro'!$A$4:$A$123,0)),0))-($G12*'00-Parametros'!$C$9)-($G12*'00-Parametros'!$C$10)-IFERROR(INDEX('03-Marketing'!$C$4:$C$123,MATCH($A12,'03-Marketing'!$A$4:$A$123,0)),0)-($G12*'00-Parametros'!$C$12))</f>
        <v/>
      </c>
      <c r="L12" s="17">
        <f>IF(OR($A12="",$G12="",$G12=0),"",$K12/$G12)</f>
        <v/>
      </c>
    </row>
    <row r="13">
      <c r="A13" s="16" t="n"/>
      <c r="B13" s="5">
        <f>IF($A13="","",IFERROR(INDEX('01-Cadastro-Motos'!$B$4:$B$123,MATCH($A13,'01-Cadastro-Motos'!$A$4:$A$123,0)),""))</f>
        <v/>
      </c>
      <c r="C13" s="16" t="n"/>
      <c r="D13" s="23" t="n"/>
      <c r="E13" s="14">
        <f>IF($A13="","",IFERROR(INDEX('06-Precificacao'!$I$4:$I$123,MATCH($A13,'06-Precificacao'!$A$4:$A$123,0)),0))</f>
        <v/>
      </c>
      <c r="F13" s="14">
        <f>IF($A13="","",IFERROR(INDEX('06-Precificacao'!$K$4:$K$123,MATCH($A13,'06-Precificacao'!$A$4:$A$123,0)),0))</f>
        <v/>
      </c>
      <c r="G13" s="9" t="n"/>
      <c r="H13" s="14">
        <f>IF(OR($A13="",$G13=""),"",$E13-$G13)</f>
        <v/>
      </c>
      <c r="I13" s="17">
        <f>IF(OR($A13="",$G13="",$E13=0),"",$H13/$E13)</f>
        <v/>
      </c>
      <c r="J13" s="5">
        <f>IF(OR($A13="",$G13=""),"",IF($G13&lt;$F13,"SIM - abaixo do LP","Não"))</f>
        <v/>
      </c>
      <c r="K13" s="14">
        <f>IF(OR($A13="",$G13=""),"",$G13-(IFERROR(INDEX('06-Precificacao'!$G$4:$G$123,MATCH($A13,'06-Precificacao'!$A$4:$A$123,0)),0)-IFERROR(INDEX('06-Precificacao'!$E$4:$E$123,MATCH($A13,'06-Precificacao'!$A$4:$A$123,0)),0)+IFERROR(INDEX('05-Financeiro'!$E$4:$E$123,MATCH($A13,'05-Financeiro'!$A$4:$A$123,0)),0))-($G13*'00-Parametros'!$C$9)-($G13*'00-Parametros'!$C$10)-IFERROR(INDEX('03-Marketing'!$C$4:$C$123,MATCH($A13,'03-Marketing'!$A$4:$A$123,0)),0)-($G13*'00-Parametros'!$C$12))</f>
        <v/>
      </c>
      <c r="L13" s="17">
        <f>IF(OR($A13="",$G13="",$G13=0),"",$K13/$G13)</f>
        <v/>
      </c>
    </row>
    <row r="14">
      <c r="A14" s="16" t="n"/>
      <c r="B14" s="5">
        <f>IF($A14="","",IFERROR(INDEX('01-Cadastro-Motos'!$B$4:$B$123,MATCH($A14,'01-Cadastro-Motos'!$A$4:$A$123,0)),""))</f>
        <v/>
      </c>
      <c r="C14" s="16" t="n"/>
      <c r="D14" s="23" t="n"/>
      <c r="E14" s="14">
        <f>IF($A14="","",IFERROR(INDEX('06-Precificacao'!$I$4:$I$123,MATCH($A14,'06-Precificacao'!$A$4:$A$123,0)),0))</f>
        <v/>
      </c>
      <c r="F14" s="14">
        <f>IF($A14="","",IFERROR(INDEX('06-Precificacao'!$K$4:$K$123,MATCH($A14,'06-Precificacao'!$A$4:$A$123,0)),0))</f>
        <v/>
      </c>
      <c r="G14" s="9" t="n"/>
      <c r="H14" s="14">
        <f>IF(OR($A14="",$G14=""),"",$E14-$G14)</f>
        <v/>
      </c>
      <c r="I14" s="17">
        <f>IF(OR($A14="",$G14="",$E14=0),"",$H14/$E14)</f>
        <v/>
      </c>
      <c r="J14" s="5">
        <f>IF(OR($A14="",$G14=""),"",IF($G14&lt;$F14,"SIM - abaixo do LP","Não"))</f>
        <v/>
      </c>
      <c r="K14" s="14">
        <f>IF(OR($A14="",$G14=""),"",$G14-(IFERROR(INDEX('06-Precificacao'!$G$4:$G$123,MATCH($A14,'06-Precificacao'!$A$4:$A$123,0)),0)-IFERROR(INDEX('06-Precificacao'!$E$4:$E$123,MATCH($A14,'06-Precificacao'!$A$4:$A$123,0)),0)+IFERROR(INDEX('05-Financeiro'!$E$4:$E$123,MATCH($A14,'05-Financeiro'!$A$4:$A$123,0)),0))-($G14*'00-Parametros'!$C$9)-($G14*'00-Parametros'!$C$10)-IFERROR(INDEX('03-Marketing'!$C$4:$C$123,MATCH($A14,'03-Marketing'!$A$4:$A$123,0)),0)-($G14*'00-Parametros'!$C$12))</f>
        <v/>
      </c>
      <c r="L14" s="17">
        <f>IF(OR($A14="",$G14="",$G14=0),"",$K14/$G14)</f>
        <v/>
      </c>
    </row>
    <row r="15">
      <c r="A15" s="16" t="n"/>
      <c r="B15" s="5">
        <f>IF($A15="","",IFERROR(INDEX('01-Cadastro-Motos'!$B$4:$B$123,MATCH($A15,'01-Cadastro-Motos'!$A$4:$A$123,0)),""))</f>
        <v/>
      </c>
      <c r="C15" s="16" t="n"/>
      <c r="D15" s="23" t="n"/>
      <c r="E15" s="14">
        <f>IF($A15="","",IFERROR(INDEX('06-Precificacao'!$I$4:$I$123,MATCH($A15,'06-Precificacao'!$A$4:$A$123,0)),0))</f>
        <v/>
      </c>
      <c r="F15" s="14">
        <f>IF($A15="","",IFERROR(INDEX('06-Precificacao'!$K$4:$K$123,MATCH($A15,'06-Precificacao'!$A$4:$A$123,0)),0))</f>
        <v/>
      </c>
      <c r="G15" s="9" t="n"/>
      <c r="H15" s="14">
        <f>IF(OR($A15="",$G15=""),"",$E15-$G15)</f>
        <v/>
      </c>
      <c r="I15" s="17">
        <f>IF(OR($A15="",$G15="",$E15=0),"",$H15/$E15)</f>
        <v/>
      </c>
      <c r="J15" s="5">
        <f>IF(OR($A15="",$G15=""),"",IF($G15&lt;$F15,"SIM - abaixo do LP","Não"))</f>
        <v/>
      </c>
      <c r="K15" s="14">
        <f>IF(OR($A15="",$G15=""),"",$G15-(IFERROR(INDEX('06-Precificacao'!$G$4:$G$123,MATCH($A15,'06-Precificacao'!$A$4:$A$123,0)),0)-IFERROR(INDEX('06-Precificacao'!$E$4:$E$123,MATCH($A15,'06-Precificacao'!$A$4:$A$123,0)),0)+IFERROR(INDEX('05-Financeiro'!$E$4:$E$123,MATCH($A15,'05-Financeiro'!$A$4:$A$123,0)),0))-($G15*'00-Parametros'!$C$9)-($G15*'00-Parametros'!$C$10)-IFERROR(INDEX('03-Marketing'!$C$4:$C$123,MATCH($A15,'03-Marketing'!$A$4:$A$123,0)),0)-($G15*'00-Parametros'!$C$12))</f>
        <v/>
      </c>
      <c r="L15" s="17">
        <f>IF(OR($A15="",$G15="",$G15=0),"",$K15/$G15)</f>
        <v/>
      </c>
    </row>
    <row r="16">
      <c r="A16" s="16" t="n"/>
      <c r="B16" s="5">
        <f>IF($A16="","",IFERROR(INDEX('01-Cadastro-Motos'!$B$4:$B$123,MATCH($A16,'01-Cadastro-Motos'!$A$4:$A$123,0)),""))</f>
        <v/>
      </c>
      <c r="C16" s="16" t="n"/>
      <c r="D16" s="23" t="n"/>
      <c r="E16" s="14">
        <f>IF($A16="","",IFERROR(INDEX('06-Precificacao'!$I$4:$I$123,MATCH($A16,'06-Precificacao'!$A$4:$A$123,0)),0))</f>
        <v/>
      </c>
      <c r="F16" s="14">
        <f>IF($A16="","",IFERROR(INDEX('06-Precificacao'!$K$4:$K$123,MATCH($A16,'06-Precificacao'!$A$4:$A$123,0)),0))</f>
        <v/>
      </c>
      <c r="G16" s="9" t="n"/>
      <c r="H16" s="14">
        <f>IF(OR($A16="",$G16=""),"",$E16-$G16)</f>
        <v/>
      </c>
      <c r="I16" s="17">
        <f>IF(OR($A16="",$G16="",$E16=0),"",$H16/$E16)</f>
        <v/>
      </c>
      <c r="J16" s="5">
        <f>IF(OR($A16="",$G16=""),"",IF($G16&lt;$F16,"SIM - abaixo do LP","Não"))</f>
        <v/>
      </c>
      <c r="K16" s="14">
        <f>IF(OR($A16="",$G16=""),"",$G16-(IFERROR(INDEX('06-Precificacao'!$G$4:$G$123,MATCH($A16,'06-Precificacao'!$A$4:$A$123,0)),0)-IFERROR(INDEX('06-Precificacao'!$E$4:$E$123,MATCH($A16,'06-Precificacao'!$A$4:$A$123,0)),0)+IFERROR(INDEX('05-Financeiro'!$E$4:$E$123,MATCH($A16,'05-Financeiro'!$A$4:$A$123,0)),0))-($G16*'00-Parametros'!$C$9)-($G16*'00-Parametros'!$C$10)-IFERROR(INDEX('03-Marketing'!$C$4:$C$123,MATCH($A16,'03-Marketing'!$A$4:$A$123,0)),0)-($G16*'00-Parametros'!$C$12))</f>
        <v/>
      </c>
      <c r="L16" s="17">
        <f>IF(OR($A16="",$G16="",$G16=0),"",$K16/$G16)</f>
        <v/>
      </c>
    </row>
    <row r="17">
      <c r="A17" s="16" t="n"/>
      <c r="B17" s="5">
        <f>IF($A17="","",IFERROR(INDEX('01-Cadastro-Motos'!$B$4:$B$123,MATCH($A17,'01-Cadastro-Motos'!$A$4:$A$123,0)),""))</f>
        <v/>
      </c>
      <c r="C17" s="16" t="n"/>
      <c r="D17" s="23" t="n"/>
      <c r="E17" s="14">
        <f>IF($A17="","",IFERROR(INDEX('06-Precificacao'!$I$4:$I$123,MATCH($A17,'06-Precificacao'!$A$4:$A$123,0)),0))</f>
        <v/>
      </c>
      <c r="F17" s="14">
        <f>IF($A17="","",IFERROR(INDEX('06-Precificacao'!$K$4:$K$123,MATCH($A17,'06-Precificacao'!$A$4:$A$123,0)),0))</f>
        <v/>
      </c>
      <c r="G17" s="9" t="n"/>
      <c r="H17" s="14">
        <f>IF(OR($A17="",$G17=""),"",$E17-$G17)</f>
        <v/>
      </c>
      <c r="I17" s="17">
        <f>IF(OR($A17="",$G17="",$E17=0),"",$H17/$E17)</f>
        <v/>
      </c>
      <c r="J17" s="5">
        <f>IF(OR($A17="",$G17=""),"",IF($G17&lt;$F17,"SIM - abaixo do LP","Não"))</f>
        <v/>
      </c>
      <c r="K17" s="14">
        <f>IF(OR($A17="",$G17=""),"",$G17-(IFERROR(INDEX('06-Precificacao'!$G$4:$G$123,MATCH($A17,'06-Precificacao'!$A$4:$A$123,0)),0)-IFERROR(INDEX('06-Precificacao'!$E$4:$E$123,MATCH($A17,'06-Precificacao'!$A$4:$A$123,0)),0)+IFERROR(INDEX('05-Financeiro'!$E$4:$E$123,MATCH($A17,'05-Financeiro'!$A$4:$A$123,0)),0))-($G17*'00-Parametros'!$C$9)-($G17*'00-Parametros'!$C$10)-IFERROR(INDEX('03-Marketing'!$C$4:$C$123,MATCH($A17,'03-Marketing'!$A$4:$A$123,0)),0)-($G17*'00-Parametros'!$C$12))</f>
        <v/>
      </c>
      <c r="L17" s="17">
        <f>IF(OR($A17="",$G17="",$G17=0),"",$K17/$G17)</f>
        <v/>
      </c>
    </row>
    <row r="18">
      <c r="A18" s="16" t="n"/>
      <c r="B18" s="5">
        <f>IF($A18="","",IFERROR(INDEX('01-Cadastro-Motos'!$B$4:$B$123,MATCH($A18,'01-Cadastro-Motos'!$A$4:$A$123,0)),""))</f>
        <v/>
      </c>
      <c r="C18" s="16" t="n"/>
      <c r="D18" s="23" t="n"/>
      <c r="E18" s="14">
        <f>IF($A18="","",IFERROR(INDEX('06-Precificacao'!$I$4:$I$123,MATCH($A18,'06-Precificacao'!$A$4:$A$123,0)),0))</f>
        <v/>
      </c>
      <c r="F18" s="14">
        <f>IF($A18="","",IFERROR(INDEX('06-Precificacao'!$K$4:$K$123,MATCH($A18,'06-Precificacao'!$A$4:$A$123,0)),0))</f>
        <v/>
      </c>
      <c r="G18" s="9" t="n"/>
      <c r="H18" s="14">
        <f>IF(OR($A18="",$G18=""),"",$E18-$G18)</f>
        <v/>
      </c>
      <c r="I18" s="17">
        <f>IF(OR($A18="",$G18="",$E18=0),"",$H18/$E18)</f>
        <v/>
      </c>
      <c r="J18" s="5">
        <f>IF(OR($A18="",$G18=""),"",IF($G18&lt;$F18,"SIM - abaixo do LP","Não"))</f>
        <v/>
      </c>
      <c r="K18" s="14">
        <f>IF(OR($A18="",$G18=""),"",$G18-(IFERROR(INDEX('06-Precificacao'!$G$4:$G$123,MATCH($A18,'06-Precificacao'!$A$4:$A$123,0)),0)-IFERROR(INDEX('06-Precificacao'!$E$4:$E$123,MATCH($A18,'06-Precificacao'!$A$4:$A$123,0)),0)+IFERROR(INDEX('05-Financeiro'!$E$4:$E$123,MATCH($A18,'05-Financeiro'!$A$4:$A$123,0)),0))-($G18*'00-Parametros'!$C$9)-($G18*'00-Parametros'!$C$10)-IFERROR(INDEX('03-Marketing'!$C$4:$C$123,MATCH($A18,'03-Marketing'!$A$4:$A$123,0)),0)-($G18*'00-Parametros'!$C$12))</f>
        <v/>
      </c>
      <c r="L18" s="17">
        <f>IF(OR($A18="",$G18="",$G18=0),"",$K18/$G18)</f>
        <v/>
      </c>
    </row>
    <row r="19">
      <c r="A19" s="16" t="n"/>
      <c r="B19" s="5">
        <f>IF($A19="","",IFERROR(INDEX('01-Cadastro-Motos'!$B$4:$B$123,MATCH($A19,'01-Cadastro-Motos'!$A$4:$A$123,0)),""))</f>
        <v/>
      </c>
      <c r="C19" s="16" t="n"/>
      <c r="D19" s="23" t="n"/>
      <c r="E19" s="14">
        <f>IF($A19="","",IFERROR(INDEX('06-Precificacao'!$I$4:$I$123,MATCH($A19,'06-Precificacao'!$A$4:$A$123,0)),0))</f>
        <v/>
      </c>
      <c r="F19" s="14">
        <f>IF($A19="","",IFERROR(INDEX('06-Precificacao'!$K$4:$K$123,MATCH($A19,'06-Precificacao'!$A$4:$A$123,0)),0))</f>
        <v/>
      </c>
      <c r="G19" s="9" t="n"/>
      <c r="H19" s="14">
        <f>IF(OR($A19="",$G19=""),"",$E19-$G19)</f>
        <v/>
      </c>
      <c r="I19" s="17">
        <f>IF(OR($A19="",$G19="",$E19=0),"",$H19/$E19)</f>
        <v/>
      </c>
      <c r="J19" s="5">
        <f>IF(OR($A19="",$G19=""),"",IF($G19&lt;$F19,"SIM - abaixo do LP","Não"))</f>
        <v/>
      </c>
      <c r="K19" s="14">
        <f>IF(OR($A19="",$G19=""),"",$G19-(IFERROR(INDEX('06-Precificacao'!$G$4:$G$123,MATCH($A19,'06-Precificacao'!$A$4:$A$123,0)),0)-IFERROR(INDEX('06-Precificacao'!$E$4:$E$123,MATCH($A19,'06-Precificacao'!$A$4:$A$123,0)),0)+IFERROR(INDEX('05-Financeiro'!$E$4:$E$123,MATCH($A19,'05-Financeiro'!$A$4:$A$123,0)),0))-($G19*'00-Parametros'!$C$9)-($G19*'00-Parametros'!$C$10)-IFERROR(INDEX('03-Marketing'!$C$4:$C$123,MATCH($A19,'03-Marketing'!$A$4:$A$123,0)),0)-($G19*'00-Parametros'!$C$12))</f>
        <v/>
      </c>
      <c r="L19" s="17">
        <f>IF(OR($A19="",$G19="",$G19=0),"",$K19/$G19)</f>
        <v/>
      </c>
    </row>
    <row r="20">
      <c r="A20" s="16" t="n"/>
      <c r="B20" s="5">
        <f>IF($A20="","",IFERROR(INDEX('01-Cadastro-Motos'!$B$4:$B$123,MATCH($A20,'01-Cadastro-Motos'!$A$4:$A$123,0)),""))</f>
        <v/>
      </c>
      <c r="C20" s="16" t="n"/>
      <c r="D20" s="23" t="n"/>
      <c r="E20" s="14">
        <f>IF($A20="","",IFERROR(INDEX('06-Precificacao'!$I$4:$I$123,MATCH($A20,'06-Precificacao'!$A$4:$A$123,0)),0))</f>
        <v/>
      </c>
      <c r="F20" s="14">
        <f>IF($A20="","",IFERROR(INDEX('06-Precificacao'!$K$4:$K$123,MATCH($A20,'06-Precificacao'!$A$4:$A$123,0)),0))</f>
        <v/>
      </c>
      <c r="G20" s="9" t="n"/>
      <c r="H20" s="14">
        <f>IF(OR($A20="",$G20=""),"",$E20-$G20)</f>
        <v/>
      </c>
      <c r="I20" s="17">
        <f>IF(OR($A20="",$G20="",$E20=0),"",$H20/$E20)</f>
        <v/>
      </c>
      <c r="J20" s="5">
        <f>IF(OR($A20="",$G20=""),"",IF($G20&lt;$F20,"SIM - abaixo do LP","Não"))</f>
        <v/>
      </c>
      <c r="K20" s="14">
        <f>IF(OR($A20="",$G20=""),"",$G20-(IFERROR(INDEX('06-Precificacao'!$G$4:$G$123,MATCH($A20,'06-Precificacao'!$A$4:$A$123,0)),0)-IFERROR(INDEX('06-Precificacao'!$E$4:$E$123,MATCH($A20,'06-Precificacao'!$A$4:$A$123,0)),0)+IFERROR(INDEX('05-Financeiro'!$E$4:$E$123,MATCH($A20,'05-Financeiro'!$A$4:$A$123,0)),0))-($G20*'00-Parametros'!$C$9)-($G20*'00-Parametros'!$C$10)-IFERROR(INDEX('03-Marketing'!$C$4:$C$123,MATCH($A20,'03-Marketing'!$A$4:$A$123,0)),0)-($G20*'00-Parametros'!$C$12))</f>
        <v/>
      </c>
      <c r="L20" s="17">
        <f>IF(OR($A20="",$G20="",$G20=0),"",$K20/$G20)</f>
        <v/>
      </c>
    </row>
    <row r="21">
      <c r="A21" s="16" t="n"/>
      <c r="B21" s="5">
        <f>IF($A21="","",IFERROR(INDEX('01-Cadastro-Motos'!$B$4:$B$123,MATCH($A21,'01-Cadastro-Motos'!$A$4:$A$123,0)),""))</f>
        <v/>
      </c>
      <c r="C21" s="16" t="n"/>
      <c r="D21" s="23" t="n"/>
      <c r="E21" s="14">
        <f>IF($A21="","",IFERROR(INDEX('06-Precificacao'!$I$4:$I$123,MATCH($A21,'06-Precificacao'!$A$4:$A$123,0)),0))</f>
        <v/>
      </c>
      <c r="F21" s="14">
        <f>IF($A21="","",IFERROR(INDEX('06-Precificacao'!$K$4:$K$123,MATCH($A21,'06-Precificacao'!$A$4:$A$123,0)),0))</f>
        <v/>
      </c>
      <c r="G21" s="9" t="n"/>
      <c r="H21" s="14">
        <f>IF(OR($A21="",$G21=""),"",$E21-$G21)</f>
        <v/>
      </c>
      <c r="I21" s="17">
        <f>IF(OR($A21="",$G21="",$E21=0),"",$H21/$E21)</f>
        <v/>
      </c>
      <c r="J21" s="5">
        <f>IF(OR($A21="",$G21=""),"",IF($G21&lt;$F21,"SIM - abaixo do LP","Não"))</f>
        <v/>
      </c>
      <c r="K21" s="14">
        <f>IF(OR($A21="",$G21=""),"",$G21-(IFERROR(INDEX('06-Precificacao'!$G$4:$G$123,MATCH($A21,'06-Precificacao'!$A$4:$A$123,0)),0)-IFERROR(INDEX('06-Precificacao'!$E$4:$E$123,MATCH($A21,'06-Precificacao'!$A$4:$A$123,0)),0)+IFERROR(INDEX('05-Financeiro'!$E$4:$E$123,MATCH($A21,'05-Financeiro'!$A$4:$A$123,0)),0))-($G21*'00-Parametros'!$C$9)-($G21*'00-Parametros'!$C$10)-IFERROR(INDEX('03-Marketing'!$C$4:$C$123,MATCH($A21,'03-Marketing'!$A$4:$A$123,0)),0)-($G21*'00-Parametros'!$C$12))</f>
        <v/>
      </c>
      <c r="L21" s="17">
        <f>IF(OR($A21="",$G21="",$G21=0),"",$K21/$G21)</f>
        <v/>
      </c>
    </row>
    <row r="22">
      <c r="A22" s="16" t="n"/>
      <c r="B22" s="5">
        <f>IF($A22="","",IFERROR(INDEX('01-Cadastro-Motos'!$B$4:$B$123,MATCH($A22,'01-Cadastro-Motos'!$A$4:$A$123,0)),""))</f>
        <v/>
      </c>
      <c r="C22" s="16" t="n"/>
      <c r="D22" s="23" t="n"/>
      <c r="E22" s="14">
        <f>IF($A22="","",IFERROR(INDEX('06-Precificacao'!$I$4:$I$123,MATCH($A22,'06-Precificacao'!$A$4:$A$123,0)),0))</f>
        <v/>
      </c>
      <c r="F22" s="14">
        <f>IF($A22="","",IFERROR(INDEX('06-Precificacao'!$K$4:$K$123,MATCH($A22,'06-Precificacao'!$A$4:$A$123,0)),0))</f>
        <v/>
      </c>
      <c r="G22" s="9" t="n"/>
      <c r="H22" s="14">
        <f>IF(OR($A22="",$G22=""),"",$E22-$G22)</f>
        <v/>
      </c>
      <c r="I22" s="17">
        <f>IF(OR($A22="",$G22="",$E22=0),"",$H22/$E22)</f>
        <v/>
      </c>
      <c r="J22" s="5">
        <f>IF(OR($A22="",$G22=""),"",IF($G22&lt;$F22,"SIM - abaixo do LP","Não"))</f>
        <v/>
      </c>
      <c r="K22" s="14">
        <f>IF(OR($A22="",$G22=""),"",$G22-(IFERROR(INDEX('06-Precificacao'!$G$4:$G$123,MATCH($A22,'06-Precificacao'!$A$4:$A$123,0)),0)-IFERROR(INDEX('06-Precificacao'!$E$4:$E$123,MATCH($A22,'06-Precificacao'!$A$4:$A$123,0)),0)+IFERROR(INDEX('05-Financeiro'!$E$4:$E$123,MATCH($A22,'05-Financeiro'!$A$4:$A$123,0)),0))-($G22*'00-Parametros'!$C$9)-($G22*'00-Parametros'!$C$10)-IFERROR(INDEX('03-Marketing'!$C$4:$C$123,MATCH($A22,'03-Marketing'!$A$4:$A$123,0)),0)-($G22*'00-Parametros'!$C$12))</f>
        <v/>
      </c>
      <c r="L22" s="17">
        <f>IF(OR($A22="",$G22="",$G22=0),"",$K22/$G22)</f>
        <v/>
      </c>
    </row>
    <row r="23">
      <c r="A23" s="16" t="n"/>
      <c r="B23" s="5">
        <f>IF($A23="","",IFERROR(INDEX('01-Cadastro-Motos'!$B$4:$B$123,MATCH($A23,'01-Cadastro-Motos'!$A$4:$A$123,0)),""))</f>
        <v/>
      </c>
      <c r="C23" s="16" t="n"/>
      <c r="D23" s="23" t="n"/>
      <c r="E23" s="14">
        <f>IF($A23="","",IFERROR(INDEX('06-Precificacao'!$I$4:$I$123,MATCH($A23,'06-Precificacao'!$A$4:$A$123,0)),0))</f>
        <v/>
      </c>
      <c r="F23" s="14">
        <f>IF($A23="","",IFERROR(INDEX('06-Precificacao'!$K$4:$K$123,MATCH($A23,'06-Precificacao'!$A$4:$A$123,0)),0))</f>
        <v/>
      </c>
      <c r="G23" s="9" t="n"/>
      <c r="H23" s="14">
        <f>IF(OR($A23="",$G23=""),"",$E23-$G23)</f>
        <v/>
      </c>
      <c r="I23" s="17">
        <f>IF(OR($A23="",$G23="",$E23=0),"",$H23/$E23)</f>
        <v/>
      </c>
      <c r="J23" s="5">
        <f>IF(OR($A23="",$G23=""),"",IF($G23&lt;$F23,"SIM - abaixo do LP","Não"))</f>
        <v/>
      </c>
      <c r="K23" s="14">
        <f>IF(OR($A23="",$G23=""),"",$G23-(IFERROR(INDEX('06-Precificacao'!$G$4:$G$123,MATCH($A23,'06-Precificacao'!$A$4:$A$123,0)),0)-IFERROR(INDEX('06-Precificacao'!$E$4:$E$123,MATCH($A23,'06-Precificacao'!$A$4:$A$123,0)),0)+IFERROR(INDEX('05-Financeiro'!$E$4:$E$123,MATCH($A23,'05-Financeiro'!$A$4:$A$123,0)),0))-($G23*'00-Parametros'!$C$9)-($G23*'00-Parametros'!$C$10)-IFERROR(INDEX('03-Marketing'!$C$4:$C$123,MATCH($A23,'03-Marketing'!$A$4:$A$123,0)),0)-($G23*'00-Parametros'!$C$12))</f>
        <v/>
      </c>
      <c r="L23" s="17">
        <f>IF(OR($A23="",$G23="",$G23=0),"",$K23/$G23)</f>
        <v/>
      </c>
    </row>
    <row r="24">
      <c r="A24" s="16" t="n"/>
      <c r="B24" s="5">
        <f>IF($A24="","",IFERROR(INDEX('01-Cadastro-Motos'!$B$4:$B$123,MATCH($A24,'01-Cadastro-Motos'!$A$4:$A$123,0)),""))</f>
        <v/>
      </c>
      <c r="C24" s="16" t="n"/>
      <c r="D24" s="23" t="n"/>
      <c r="E24" s="14">
        <f>IF($A24="","",IFERROR(INDEX('06-Precificacao'!$I$4:$I$123,MATCH($A24,'06-Precificacao'!$A$4:$A$123,0)),0))</f>
        <v/>
      </c>
      <c r="F24" s="14">
        <f>IF($A24="","",IFERROR(INDEX('06-Precificacao'!$K$4:$K$123,MATCH($A24,'06-Precificacao'!$A$4:$A$123,0)),0))</f>
        <v/>
      </c>
      <c r="G24" s="9" t="n"/>
      <c r="H24" s="14">
        <f>IF(OR($A24="",$G24=""),"",$E24-$G24)</f>
        <v/>
      </c>
      <c r="I24" s="17">
        <f>IF(OR($A24="",$G24="",$E24=0),"",$H24/$E24)</f>
        <v/>
      </c>
      <c r="J24" s="5">
        <f>IF(OR($A24="",$G24=""),"",IF($G24&lt;$F24,"SIM - abaixo do LP","Não"))</f>
        <v/>
      </c>
      <c r="K24" s="14">
        <f>IF(OR($A24="",$G24=""),"",$G24-(IFERROR(INDEX('06-Precificacao'!$G$4:$G$123,MATCH($A24,'06-Precificacao'!$A$4:$A$123,0)),0)-IFERROR(INDEX('06-Precificacao'!$E$4:$E$123,MATCH($A24,'06-Precificacao'!$A$4:$A$123,0)),0)+IFERROR(INDEX('05-Financeiro'!$E$4:$E$123,MATCH($A24,'05-Financeiro'!$A$4:$A$123,0)),0))-($G24*'00-Parametros'!$C$9)-($G24*'00-Parametros'!$C$10)-IFERROR(INDEX('03-Marketing'!$C$4:$C$123,MATCH($A24,'03-Marketing'!$A$4:$A$123,0)),0)-($G24*'00-Parametros'!$C$12))</f>
        <v/>
      </c>
      <c r="L24" s="17">
        <f>IF(OR($A24="",$G24="",$G24=0),"",$K24/$G24)</f>
        <v/>
      </c>
    </row>
    <row r="25">
      <c r="A25" s="16" t="n"/>
      <c r="B25" s="5">
        <f>IF($A25="","",IFERROR(INDEX('01-Cadastro-Motos'!$B$4:$B$123,MATCH($A25,'01-Cadastro-Motos'!$A$4:$A$123,0)),""))</f>
        <v/>
      </c>
      <c r="C25" s="16" t="n"/>
      <c r="D25" s="23" t="n"/>
      <c r="E25" s="14">
        <f>IF($A25="","",IFERROR(INDEX('06-Precificacao'!$I$4:$I$123,MATCH($A25,'06-Precificacao'!$A$4:$A$123,0)),0))</f>
        <v/>
      </c>
      <c r="F25" s="14">
        <f>IF($A25="","",IFERROR(INDEX('06-Precificacao'!$K$4:$K$123,MATCH($A25,'06-Precificacao'!$A$4:$A$123,0)),0))</f>
        <v/>
      </c>
      <c r="G25" s="9" t="n"/>
      <c r="H25" s="14">
        <f>IF(OR($A25="",$G25=""),"",$E25-$G25)</f>
        <v/>
      </c>
      <c r="I25" s="17">
        <f>IF(OR($A25="",$G25="",$E25=0),"",$H25/$E25)</f>
        <v/>
      </c>
      <c r="J25" s="5">
        <f>IF(OR($A25="",$G25=""),"",IF($G25&lt;$F25,"SIM - abaixo do LP","Não"))</f>
        <v/>
      </c>
      <c r="K25" s="14">
        <f>IF(OR($A25="",$G25=""),"",$G25-(IFERROR(INDEX('06-Precificacao'!$G$4:$G$123,MATCH($A25,'06-Precificacao'!$A$4:$A$123,0)),0)-IFERROR(INDEX('06-Precificacao'!$E$4:$E$123,MATCH($A25,'06-Precificacao'!$A$4:$A$123,0)),0)+IFERROR(INDEX('05-Financeiro'!$E$4:$E$123,MATCH($A25,'05-Financeiro'!$A$4:$A$123,0)),0))-($G25*'00-Parametros'!$C$9)-($G25*'00-Parametros'!$C$10)-IFERROR(INDEX('03-Marketing'!$C$4:$C$123,MATCH($A25,'03-Marketing'!$A$4:$A$123,0)),0)-($G25*'00-Parametros'!$C$12))</f>
        <v/>
      </c>
      <c r="L25" s="17">
        <f>IF(OR($A25="",$G25="",$G25=0),"",$K25/$G25)</f>
        <v/>
      </c>
    </row>
    <row r="26">
      <c r="A26" s="16" t="n"/>
      <c r="B26" s="5">
        <f>IF($A26="","",IFERROR(INDEX('01-Cadastro-Motos'!$B$4:$B$123,MATCH($A26,'01-Cadastro-Motos'!$A$4:$A$123,0)),""))</f>
        <v/>
      </c>
      <c r="C26" s="16" t="n"/>
      <c r="D26" s="23" t="n"/>
      <c r="E26" s="14">
        <f>IF($A26="","",IFERROR(INDEX('06-Precificacao'!$I$4:$I$123,MATCH($A26,'06-Precificacao'!$A$4:$A$123,0)),0))</f>
        <v/>
      </c>
      <c r="F26" s="14">
        <f>IF($A26="","",IFERROR(INDEX('06-Precificacao'!$K$4:$K$123,MATCH($A26,'06-Precificacao'!$A$4:$A$123,0)),0))</f>
        <v/>
      </c>
      <c r="G26" s="9" t="n"/>
      <c r="H26" s="14">
        <f>IF(OR($A26="",$G26=""),"",$E26-$G26)</f>
        <v/>
      </c>
      <c r="I26" s="17">
        <f>IF(OR($A26="",$G26="",$E26=0),"",$H26/$E26)</f>
        <v/>
      </c>
      <c r="J26" s="5">
        <f>IF(OR($A26="",$G26=""),"",IF($G26&lt;$F26,"SIM - abaixo do LP","Não"))</f>
        <v/>
      </c>
      <c r="K26" s="14">
        <f>IF(OR($A26="",$G26=""),"",$G26-(IFERROR(INDEX('06-Precificacao'!$G$4:$G$123,MATCH($A26,'06-Precificacao'!$A$4:$A$123,0)),0)-IFERROR(INDEX('06-Precificacao'!$E$4:$E$123,MATCH($A26,'06-Precificacao'!$A$4:$A$123,0)),0)+IFERROR(INDEX('05-Financeiro'!$E$4:$E$123,MATCH($A26,'05-Financeiro'!$A$4:$A$123,0)),0))-($G26*'00-Parametros'!$C$9)-($G26*'00-Parametros'!$C$10)-IFERROR(INDEX('03-Marketing'!$C$4:$C$123,MATCH($A26,'03-Marketing'!$A$4:$A$123,0)),0)-($G26*'00-Parametros'!$C$12))</f>
        <v/>
      </c>
      <c r="L26" s="17">
        <f>IF(OR($A26="",$G26="",$G26=0),"",$K26/$G26)</f>
        <v/>
      </c>
    </row>
    <row r="27">
      <c r="A27" s="16" t="n"/>
      <c r="B27" s="5">
        <f>IF($A27="","",IFERROR(INDEX('01-Cadastro-Motos'!$B$4:$B$123,MATCH($A27,'01-Cadastro-Motos'!$A$4:$A$123,0)),""))</f>
        <v/>
      </c>
      <c r="C27" s="16" t="n"/>
      <c r="D27" s="23" t="n"/>
      <c r="E27" s="14">
        <f>IF($A27="","",IFERROR(INDEX('06-Precificacao'!$I$4:$I$123,MATCH($A27,'06-Precificacao'!$A$4:$A$123,0)),0))</f>
        <v/>
      </c>
      <c r="F27" s="14">
        <f>IF($A27="","",IFERROR(INDEX('06-Precificacao'!$K$4:$K$123,MATCH($A27,'06-Precificacao'!$A$4:$A$123,0)),0))</f>
        <v/>
      </c>
      <c r="G27" s="9" t="n"/>
      <c r="H27" s="14">
        <f>IF(OR($A27="",$G27=""),"",$E27-$G27)</f>
        <v/>
      </c>
      <c r="I27" s="17">
        <f>IF(OR($A27="",$G27="",$E27=0),"",$H27/$E27)</f>
        <v/>
      </c>
      <c r="J27" s="5">
        <f>IF(OR($A27="",$G27=""),"",IF($G27&lt;$F27,"SIM - abaixo do LP","Não"))</f>
        <v/>
      </c>
      <c r="K27" s="14">
        <f>IF(OR($A27="",$G27=""),"",$G27-(IFERROR(INDEX('06-Precificacao'!$G$4:$G$123,MATCH($A27,'06-Precificacao'!$A$4:$A$123,0)),0)-IFERROR(INDEX('06-Precificacao'!$E$4:$E$123,MATCH($A27,'06-Precificacao'!$A$4:$A$123,0)),0)+IFERROR(INDEX('05-Financeiro'!$E$4:$E$123,MATCH($A27,'05-Financeiro'!$A$4:$A$123,0)),0))-($G27*'00-Parametros'!$C$9)-($G27*'00-Parametros'!$C$10)-IFERROR(INDEX('03-Marketing'!$C$4:$C$123,MATCH($A27,'03-Marketing'!$A$4:$A$123,0)),0)-($G27*'00-Parametros'!$C$12))</f>
        <v/>
      </c>
      <c r="L27" s="17">
        <f>IF(OR($A27="",$G27="",$G27=0),"",$K27/$G27)</f>
        <v/>
      </c>
    </row>
    <row r="28">
      <c r="A28" s="16" t="n"/>
      <c r="B28" s="5">
        <f>IF($A28="","",IFERROR(INDEX('01-Cadastro-Motos'!$B$4:$B$123,MATCH($A28,'01-Cadastro-Motos'!$A$4:$A$123,0)),""))</f>
        <v/>
      </c>
      <c r="C28" s="16" t="n"/>
      <c r="D28" s="23" t="n"/>
      <c r="E28" s="14">
        <f>IF($A28="","",IFERROR(INDEX('06-Precificacao'!$I$4:$I$123,MATCH($A28,'06-Precificacao'!$A$4:$A$123,0)),0))</f>
        <v/>
      </c>
      <c r="F28" s="14">
        <f>IF($A28="","",IFERROR(INDEX('06-Precificacao'!$K$4:$K$123,MATCH($A28,'06-Precificacao'!$A$4:$A$123,0)),0))</f>
        <v/>
      </c>
      <c r="G28" s="9" t="n"/>
      <c r="H28" s="14">
        <f>IF(OR($A28="",$G28=""),"",$E28-$G28)</f>
        <v/>
      </c>
      <c r="I28" s="17">
        <f>IF(OR($A28="",$G28="",$E28=0),"",$H28/$E28)</f>
        <v/>
      </c>
      <c r="J28" s="5">
        <f>IF(OR($A28="",$G28=""),"",IF($G28&lt;$F28,"SIM - abaixo do LP","Não"))</f>
        <v/>
      </c>
      <c r="K28" s="14">
        <f>IF(OR($A28="",$G28=""),"",$G28-(IFERROR(INDEX('06-Precificacao'!$G$4:$G$123,MATCH($A28,'06-Precificacao'!$A$4:$A$123,0)),0)-IFERROR(INDEX('06-Precificacao'!$E$4:$E$123,MATCH($A28,'06-Precificacao'!$A$4:$A$123,0)),0)+IFERROR(INDEX('05-Financeiro'!$E$4:$E$123,MATCH($A28,'05-Financeiro'!$A$4:$A$123,0)),0))-($G28*'00-Parametros'!$C$9)-($G28*'00-Parametros'!$C$10)-IFERROR(INDEX('03-Marketing'!$C$4:$C$123,MATCH($A28,'03-Marketing'!$A$4:$A$123,0)),0)-($G28*'00-Parametros'!$C$12))</f>
        <v/>
      </c>
      <c r="L28" s="17">
        <f>IF(OR($A28="",$G28="",$G28=0),"",$K28/$G28)</f>
        <v/>
      </c>
    </row>
    <row r="29">
      <c r="A29" s="16" t="n"/>
      <c r="B29" s="5">
        <f>IF($A29="","",IFERROR(INDEX('01-Cadastro-Motos'!$B$4:$B$123,MATCH($A29,'01-Cadastro-Motos'!$A$4:$A$123,0)),""))</f>
        <v/>
      </c>
      <c r="C29" s="16" t="n"/>
      <c r="D29" s="23" t="n"/>
      <c r="E29" s="14">
        <f>IF($A29="","",IFERROR(INDEX('06-Precificacao'!$I$4:$I$123,MATCH($A29,'06-Precificacao'!$A$4:$A$123,0)),0))</f>
        <v/>
      </c>
      <c r="F29" s="14">
        <f>IF($A29="","",IFERROR(INDEX('06-Precificacao'!$K$4:$K$123,MATCH($A29,'06-Precificacao'!$A$4:$A$123,0)),0))</f>
        <v/>
      </c>
      <c r="G29" s="9" t="n"/>
      <c r="H29" s="14">
        <f>IF(OR($A29="",$G29=""),"",$E29-$G29)</f>
        <v/>
      </c>
      <c r="I29" s="17">
        <f>IF(OR($A29="",$G29="",$E29=0),"",$H29/$E29)</f>
        <v/>
      </c>
      <c r="J29" s="5">
        <f>IF(OR($A29="",$G29=""),"",IF($G29&lt;$F29,"SIM - abaixo do LP","Não"))</f>
        <v/>
      </c>
      <c r="K29" s="14">
        <f>IF(OR($A29="",$G29=""),"",$G29-(IFERROR(INDEX('06-Precificacao'!$G$4:$G$123,MATCH($A29,'06-Precificacao'!$A$4:$A$123,0)),0)-IFERROR(INDEX('06-Precificacao'!$E$4:$E$123,MATCH($A29,'06-Precificacao'!$A$4:$A$123,0)),0)+IFERROR(INDEX('05-Financeiro'!$E$4:$E$123,MATCH($A29,'05-Financeiro'!$A$4:$A$123,0)),0))-($G29*'00-Parametros'!$C$9)-($G29*'00-Parametros'!$C$10)-IFERROR(INDEX('03-Marketing'!$C$4:$C$123,MATCH($A29,'03-Marketing'!$A$4:$A$123,0)),0)-($G29*'00-Parametros'!$C$12))</f>
        <v/>
      </c>
      <c r="L29" s="17">
        <f>IF(OR($A29="",$G29="",$G29=0),"",$K29/$G29)</f>
        <v/>
      </c>
    </row>
    <row r="30">
      <c r="A30" s="16" t="n"/>
      <c r="B30" s="5">
        <f>IF($A30="","",IFERROR(INDEX('01-Cadastro-Motos'!$B$4:$B$123,MATCH($A30,'01-Cadastro-Motos'!$A$4:$A$123,0)),""))</f>
        <v/>
      </c>
      <c r="C30" s="16" t="n"/>
      <c r="D30" s="23" t="n"/>
      <c r="E30" s="14">
        <f>IF($A30="","",IFERROR(INDEX('06-Precificacao'!$I$4:$I$123,MATCH($A30,'06-Precificacao'!$A$4:$A$123,0)),0))</f>
        <v/>
      </c>
      <c r="F30" s="14">
        <f>IF($A30="","",IFERROR(INDEX('06-Precificacao'!$K$4:$K$123,MATCH($A30,'06-Precificacao'!$A$4:$A$123,0)),0))</f>
        <v/>
      </c>
      <c r="G30" s="9" t="n"/>
      <c r="H30" s="14">
        <f>IF(OR($A30="",$G30=""),"",$E30-$G30)</f>
        <v/>
      </c>
      <c r="I30" s="17">
        <f>IF(OR($A30="",$G30="",$E30=0),"",$H30/$E30)</f>
        <v/>
      </c>
      <c r="J30" s="5">
        <f>IF(OR($A30="",$G30=""),"",IF($G30&lt;$F30,"SIM - abaixo do LP","Não"))</f>
        <v/>
      </c>
      <c r="K30" s="14">
        <f>IF(OR($A30="",$G30=""),"",$G30-(IFERROR(INDEX('06-Precificacao'!$G$4:$G$123,MATCH($A30,'06-Precificacao'!$A$4:$A$123,0)),0)-IFERROR(INDEX('06-Precificacao'!$E$4:$E$123,MATCH($A30,'06-Precificacao'!$A$4:$A$123,0)),0)+IFERROR(INDEX('05-Financeiro'!$E$4:$E$123,MATCH($A30,'05-Financeiro'!$A$4:$A$123,0)),0))-($G30*'00-Parametros'!$C$9)-($G30*'00-Parametros'!$C$10)-IFERROR(INDEX('03-Marketing'!$C$4:$C$123,MATCH($A30,'03-Marketing'!$A$4:$A$123,0)),0)-($G30*'00-Parametros'!$C$12))</f>
        <v/>
      </c>
      <c r="L30" s="17">
        <f>IF(OR($A30="",$G30="",$G30=0),"",$K30/$G30)</f>
        <v/>
      </c>
    </row>
    <row r="31">
      <c r="A31" s="16" t="n"/>
      <c r="B31" s="5">
        <f>IF($A31="","",IFERROR(INDEX('01-Cadastro-Motos'!$B$4:$B$123,MATCH($A31,'01-Cadastro-Motos'!$A$4:$A$123,0)),""))</f>
        <v/>
      </c>
      <c r="C31" s="16" t="n"/>
      <c r="D31" s="23" t="n"/>
      <c r="E31" s="14">
        <f>IF($A31="","",IFERROR(INDEX('06-Precificacao'!$I$4:$I$123,MATCH($A31,'06-Precificacao'!$A$4:$A$123,0)),0))</f>
        <v/>
      </c>
      <c r="F31" s="14">
        <f>IF($A31="","",IFERROR(INDEX('06-Precificacao'!$K$4:$K$123,MATCH($A31,'06-Precificacao'!$A$4:$A$123,0)),0))</f>
        <v/>
      </c>
      <c r="G31" s="9" t="n"/>
      <c r="H31" s="14">
        <f>IF(OR($A31="",$G31=""),"",$E31-$G31)</f>
        <v/>
      </c>
      <c r="I31" s="17">
        <f>IF(OR($A31="",$G31="",$E31=0),"",$H31/$E31)</f>
        <v/>
      </c>
      <c r="J31" s="5">
        <f>IF(OR($A31="",$G31=""),"",IF($G31&lt;$F31,"SIM - abaixo do LP","Não"))</f>
        <v/>
      </c>
      <c r="K31" s="14">
        <f>IF(OR($A31="",$G31=""),"",$G31-(IFERROR(INDEX('06-Precificacao'!$G$4:$G$123,MATCH($A31,'06-Precificacao'!$A$4:$A$123,0)),0)-IFERROR(INDEX('06-Precificacao'!$E$4:$E$123,MATCH($A31,'06-Precificacao'!$A$4:$A$123,0)),0)+IFERROR(INDEX('05-Financeiro'!$E$4:$E$123,MATCH($A31,'05-Financeiro'!$A$4:$A$123,0)),0))-($G31*'00-Parametros'!$C$9)-($G31*'00-Parametros'!$C$10)-IFERROR(INDEX('03-Marketing'!$C$4:$C$123,MATCH($A31,'03-Marketing'!$A$4:$A$123,0)),0)-($G31*'00-Parametros'!$C$12))</f>
        <v/>
      </c>
      <c r="L31" s="17">
        <f>IF(OR($A31="",$G31="",$G31=0),"",$K31/$G31)</f>
        <v/>
      </c>
    </row>
    <row r="32">
      <c r="A32" s="16" t="n"/>
      <c r="B32" s="5">
        <f>IF($A32="","",IFERROR(INDEX('01-Cadastro-Motos'!$B$4:$B$123,MATCH($A32,'01-Cadastro-Motos'!$A$4:$A$123,0)),""))</f>
        <v/>
      </c>
      <c r="C32" s="16" t="n"/>
      <c r="D32" s="23" t="n"/>
      <c r="E32" s="14">
        <f>IF($A32="","",IFERROR(INDEX('06-Precificacao'!$I$4:$I$123,MATCH($A32,'06-Precificacao'!$A$4:$A$123,0)),0))</f>
        <v/>
      </c>
      <c r="F32" s="14">
        <f>IF($A32="","",IFERROR(INDEX('06-Precificacao'!$K$4:$K$123,MATCH($A32,'06-Precificacao'!$A$4:$A$123,0)),0))</f>
        <v/>
      </c>
      <c r="G32" s="9" t="n"/>
      <c r="H32" s="14">
        <f>IF(OR($A32="",$G32=""),"",$E32-$G32)</f>
        <v/>
      </c>
      <c r="I32" s="17">
        <f>IF(OR($A32="",$G32="",$E32=0),"",$H32/$E32)</f>
        <v/>
      </c>
      <c r="J32" s="5">
        <f>IF(OR($A32="",$G32=""),"",IF($G32&lt;$F32,"SIM - abaixo do LP","Não"))</f>
        <v/>
      </c>
      <c r="K32" s="14">
        <f>IF(OR($A32="",$G32=""),"",$G32-(IFERROR(INDEX('06-Precificacao'!$G$4:$G$123,MATCH($A32,'06-Precificacao'!$A$4:$A$123,0)),0)-IFERROR(INDEX('06-Precificacao'!$E$4:$E$123,MATCH($A32,'06-Precificacao'!$A$4:$A$123,0)),0)+IFERROR(INDEX('05-Financeiro'!$E$4:$E$123,MATCH($A32,'05-Financeiro'!$A$4:$A$123,0)),0))-($G32*'00-Parametros'!$C$9)-($G32*'00-Parametros'!$C$10)-IFERROR(INDEX('03-Marketing'!$C$4:$C$123,MATCH($A32,'03-Marketing'!$A$4:$A$123,0)),0)-($G32*'00-Parametros'!$C$12))</f>
        <v/>
      </c>
      <c r="L32" s="17">
        <f>IF(OR($A32="",$G32="",$G32=0),"",$K32/$G32)</f>
        <v/>
      </c>
    </row>
    <row r="33">
      <c r="A33" s="16" t="n"/>
      <c r="B33" s="5">
        <f>IF($A33="","",IFERROR(INDEX('01-Cadastro-Motos'!$B$4:$B$123,MATCH($A33,'01-Cadastro-Motos'!$A$4:$A$123,0)),""))</f>
        <v/>
      </c>
      <c r="C33" s="16" t="n"/>
      <c r="D33" s="23" t="n"/>
      <c r="E33" s="14">
        <f>IF($A33="","",IFERROR(INDEX('06-Precificacao'!$I$4:$I$123,MATCH($A33,'06-Precificacao'!$A$4:$A$123,0)),0))</f>
        <v/>
      </c>
      <c r="F33" s="14">
        <f>IF($A33="","",IFERROR(INDEX('06-Precificacao'!$K$4:$K$123,MATCH($A33,'06-Precificacao'!$A$4:$A$123,0)),0))</f>
        <v/>
      </c>
      <c r="G33" s="9" t="n"/>
      <c r="H33" s="14">
        <f>IF(OR($A33="",$G33=""),"",$E33-$G33)</f>
        <v/>
      </c>
      <c r="I33" s="17">
        <f>IF(OR($A33="",$G33="",$E33=0),"",$H33/$E33)</f>
        <v/>
      </c>
      <c r="J33" s="5">
        <f>IF(OR($A33="",$G33=""),"",IF($G33&lt;$F33,"SIM - abaixo do LP","Não"))</f>
        <v/>
      </c>
      <c r="K33" s="14">
        <f>IF(OR($A33="",$G33=""),"",$G33-(IFERROR(INDEX('06-Precificacao'!$G$4:$G$123,MATCH($A33,'06-Precificacao'!$A$4:$A$123,0)),0)-IFERROR(INDEX('06-Precificacao'!$E$4:$E$123,MATCH($A33,'06-Precificacao'!$A$4:$A$123,0)),0)+IFERROR(INDEX('05-Financeiro'!$E$4:$E$123,MATCH($A33,'05-Financeiro'!$A$4:$A$123,0)),0))-($G33*'00-Parametros'!$C$9)-($G33*'00-Parametros'!$C$10)-IFERROR(INDEX('03-Marketing'!$C$4:$C$123,MATCH($A33,'03-Marketing'!$A$4:$A$123,0)),0)-($G33*'00-Parametros'!$C$12))</f>
        <v/>
      </c>
      <c r="L33" s="17">
        <f>IF(OR($A33="",$G33="",$G33=0),"",$K33/$G33)</f>
        <v/>
      </c>
    </row>
    <row r="34">
      <c r="A34" s="16" t="n"/>
      <c r="B34" s="5">
        <f>IF($A34="","",IFERROR(INDEX('01-Cadastro-Motos'!$B$4:$B$123,MATCH($A34,'01-Cadastro-Motos'!$A$4:$A$123,0)),""))</f>
        <v/>
      </c>
      <c r="C34" s="16" t="n"/>
      <c r="D34" s="23" t="n"/>
      <c r="E34" s="14">
        <f>IF($A34="","",IFERROR(INDEX('06-Precificacao'!$I$4:$I$123,MATCH($A34,'06-Precificacao'!$A$4:$A$123,0)),0))</f>
        <v/>
      </c>
      <c r="F34" s="14">
        <f>IF($A34="","",IFERROR(INDEX('06-Precificacao'!$K$4:$K$123,MATCH($A34,'06-Precificacao'!$A$4:$A$123,0)),0))</f>
        <v/>
      </c>
      <c r="G34" s="9" t="n"/>
      <c r="H34" s="14">
        <f>IF(OR($A34="",$G34=""),"",$E34-$G34)</f>
        <v/>
      </c>
      <c r="I34" s="17">
        <f>IF(OR($A34="",$G34="",$E34=0),"",$H34/$E34)</f>
        <v/>
      </c>
      <c r="J34" s="5">
        <f>IF(OR($A34="",$G34=""),"",IF($G34&lt;$F34,"SIM - abaixo do LP","Não"))</f>
        <v/>
      </c>
      <c r="K34" s="14">
        <f>IF(OR($A34="",$G34=""),"",$G34-(IFERROR(INDEX('06-Precificacao'!$G$4:$G$123,MATCH($A34,'06-Precificacao'!$A$4:$A$123,0)),0)-IFERROR(INDEX('06-Precificacao'!$E$4:$E$123,MATCH($A34,'06-Precificacao'!$A$4:$A$123,0)),0)+IFERROR(INDEX('05-Financeiro'!$E$4:$E$123,MATCH($A34,'05-Financeiro'!$A$4:$A$123,0)),0))-($G34*'00-Parametros'!$C$9)-($G34*'00-Parametros'!$C$10)-IFERROR(INDEX('03-Marketing'!$C$4:$C$123,MATCH($A34,'03-Marketing'!$A$4:$A$123,0)),0)-($G34*'00-Parametros'!$C$12))</f>
        <v/>
      </c>
      <c r="L34" s="17">
        <f>IF(OR($A34="",$G34="",$G34=0),"",$K34/$G34)</f>
        <v/>
      </c>
    </row>
    <row r="35">
      <c r="A35" s="16" t="n"/>
      <c r="B35" s="5">
        <f>IF($A35="","",IFERROR(INDEX('01-Cadastro-Motos'!$B$4:$B$123,MATCH($A35,'01-Cadastro-Motos'!$A$4:$A$123,0)),""))</f>
        <v/>
      </c>
      <c r="C35" s="16" t="n"/>
      <c r="D35" s="23" t="n"/>
      <c r="E35" s="14">
        <f>IF($A35="","",IFERROR(INDEX('06-Precificacao'!$I$4:$I$123,MATCH($A35,'06-Precificacao'!$A$4:$A$123,0)),0))</f>
        <v/>
      </c>
      <c r="F35" s="14">
        <f>IF($A35="","",IFERROR(INDEX('06-Precificacao'!$K$4:$K$123,MATCH($A35,'06-Precificacao'!$A$4:$A$123,0)),0))</f>
        <v/>
      </c>
      <c r="G35" s="9" t="n"/>
      <c r="H35" s="14">
        <f>IF(OR($A35="",$G35=""),"",$E35-$G35)</f>
        <v/>
      </c>
      <c r="I35" s="17">
        <f>IF(OR($A35="",$G35="",$E35=0),"",$H35/$E35)</f>
        <v/>
      </c>
      <c r="J35" s="5">
        <f>IF(OR($A35="",$G35=""),"",IF($G35&lt;$F35,"SIM - abaixo do LP","Não"))</f>
        <v/>
      </c>
      <c r="K35" s="14">
        <f>IF(OR($A35="",$G35=""),"",$G35-(IFERROR(INDEX('06-Precificacao'!$G$4:$G$123,MATCH($A35,'06-Precificacao'!$A$4:$A$123,0)),0)-IFERROR(INDEX('06-Precificacao'!$E$4:$E$123,MATCH($A35,'06-Precificacao'!$A$4:$A$123,0)),0)+IFERROR(INDEX('05-Financeiro'!$E$4:$E$123,MATCH($A35,'05-Financeiro'!$A$4:$A$123,0)),0))-($G35*'00-Parametros'!$C$9)-($G35*'00-Parametros'!$C$10)-IFERROR(INDEX('03-Marketing'!$C$4:$C$123,MATCH($A35,'03-Marketing'!$A$4:$A$123,0)),0)-($G35*'00-Parametros'!$C$12))</f>
        <v/>
      </c>
      <c r="L35" s="17">
        <f>IF(OR($A35="",$G35="",$G35=0),"",$K35/$G35)</f>
        <v/>
      </c>
    </row>
    <row r="36">
      <c r="A36" s="16" t="n"/>
      <c r="B36" s="5">
        <f>IF($A36="","",IFERROR(INDEX('01-Cadastro-Motos'!$B$4:$B$123,MATCH($A36,'01-Cadastro-Motos'!$A$4:$A$123,0)),""))</f>
        <v/>
      </c>
      <c r="C36" s="16" t="n"/>
      <c r="D36" s="23" t="n"/>
      <c r="E36" s="14">
        <f>IF($A36="","",IFERROR(INDEX('06-Precificacao'!$I$4:$I$123,MATCH($A36,'06-Precificacao'!$A$4:$A$123,0)),0))</f>
        <v/>
      </c>
      <c r="F36" s="14">
        <f>IF($A36="","",IFERROR(INDEX('06-Precificacao'!$K$4:$K$123,MATCH($A36,'06-Precificacao'!$A$4:$A$123,0)),0))</f>
        <v/>
      </c>
      <c r="G36" s="9" t="n"/>
      <c r="H36" s="14">
        <f>IF(OR($A36="",$G36=""),"",$E36-$G36)</f>
        <v/>
      </c>
      <c r="I36" s="17">
        <f>IF(OR($A36="",$G36="",$E36=0),"",$H36/$E36)</f>
        <v/>
      </c>
      <c r="J36" s="5">
        <f>IF(OR($A36="",$G36=""),"",IF($G36&lt;$F36,"SIM - abaixo do LP","Não"))</f>
        <v/>
      </c>
      <c r="K36" s="14">
        <f>IF(OR($A36="",$G36=""),"",$G36-(IFERROR(INDEX('06-Precificacao'!$G$4:$G$123,MATCH($A36,'06-Precificacao'!$A$4:$A$123,0)),0)-IFERROR(INDEX('06-Precificacao'!$E$4:$E$123,MATCH($A36,'06-Precificacao'!$A$4:$A$123,0)),0)+IFERROR(INDEX('05-Financeiro'!$E$4:$E$123,MATCH($A36,'05-Financeiro'!$A$4:$A$123,0)),0))-($G36*'00-Parametros'!$C$9)-($G36*'00-Parametros'!$C$10)-IFERROR(INDEX('03-Marketing'!$C$4:$C$123,MATCH($A36,'03-Marketing'!$A$4:$A$123,0)),0)-($G36*'00-Parametros'!$C$12))</f>
        <v/>
      </c>
      <c r="L36" s="17">
        <f>IF(OR($A36="",$G36="",$G36=0),"",$K36/$G36)</f>
        <v/>
      </c>
    </row>
    <row r="37">
      <c r="A37" s="16" t="n"/>
      <c r="B37" s="5">
        <f>IF($A37="","",IFERROR(INDEX('01-Cadastro-Motos'!$B$4:$B$123,MATCH($A37,'01-Cadastro-Motos'!$A$4:$A$123,0)),""))</f>
        <v/>
      </c>
      <c r="C37" s="16" t="n"/>
      <c r="D37" s="23" t="n"/>
      <c r="E37" s="14">
        <f>IF($A37="","",IFERROR(INDEX('06-Precificacao'!$I$4:$I$123,MATCH($A37,'06-Precificacao'!$A$4:$A$123,0)),0))</f>
        <v/>
      </c>
      <c r="F37" s="14">
        <f>IF($A37="","",IFERROR(INDEX('06-Precificacao'!$K$4:$K$123,MATCH($A37,'06-Precificacao'!$A$4:$A$123,0)),0))</f>
        <v/>
      </c>
      <c r="G37" s="9" t="n"/>
      <c r="H37" s="14">
        <f>IF(OR($A37="",$G37=""),"",$E37-$G37)</f>
        <v/>
      </c>
      <c r="I37" s="17">
        <f>IF(OR($A37="",$G37="",$E37=0),"",$H37/$E37)</f>
        <v/>
      </c>
      <c r="J37" s="5">
        <f>IF(OR($A37="",$G37=""),"",IF($G37&lt;$F37,"SIM - abaixo do LP","Não"))</f>
        <v/>
      </c>
      <c r="K37" s="14">
        <f>IF(OR($A37="",$G37=""),"",$G37-(IFERROR(INDEX('06-Precificacao'!$G$4:$G$123,MATCH($A37,'06-Precificacao'!$A$4:$A$123,0)),0)-IFERROR(INDEX('06-Precificacao'!$E$4:$E$123,MATCH($A37,'06-Precificacao'!$A$4:$A$123,0)),0)+IFERROR(INDEX('05-Financeiro'!$E$4:$E$123,MATCH($A37,'05-Financeiro'!$A$4:$A$123,0)),0))-($G37*'00-Parametros'!$C$9)-($G37*'00-Parametros'!$C$10)-IFERROR(INDEX('03-Marketing'!$C$4:$C$123,MATCH($A37,'03-Marketing'!$A$4:$A$123,0)),0)-($G37*'00-Parametros'!$C$12))</f>
        <v/>
      </c>
      <c r="L37" s="17">
        <f>IF(OR($A37="",$G37="",$G37=0),"",$K37/$G37)</f>
        <v/>
      </c>
    </row>
    <row r="38">
      <c r="A38" s="16" t="n"/>
      <c r="B38" s="5">
        <f>IF($A38="","",IFERROR(INDEX('01-Cadastro-Motos'!$B$4:$B$123,MATCH($A38,'01-Cadastro-Motos'!$A$4:$A$123,0)),""))</f>
        <v/>
      </c>
      <c r="C38" s="16" t="n"/>
      <c r="D38" s="23" t="n"/>
      <c r="E38" s="14">
        <f>IF($A38="","",IFERROR(INDEX('06-Precificacao'!$I$4:$I$123,MATCH($A38,'06-Precificacao'!$A$4:$A$123,0)),0))</f>
        <v/>
      </c>
      <c r="F38" s="14">
        <f>IF($A38="","",IFERROR(INDEX('06-Precificacao'!$K$4:$K$123,MATCH($A38,'06-Precificacao'!$A$4:$A$123,0)),0))</f>
        <v/>
      </c>
      <c r="G38" s="9" t="n"/>
      <c r="H38" s="14">
        <f>IF(OR($A38="",$G38=""),"",$E38-$G38)</f>
        <v/>
      </c>
      <c r="I38" s="17">
        <f>IF(OR($A38="",$G38="",$E38=0),"",$H38/$E38)</f>
        <v/>
      </c>
      <c r="J38" s="5">
        <f>IF(OR($A38="",$G38=""),"",IF($G38&lt;$F38,"SIM - abaixo do LP","Não"))</f>
        <v/>
      </c>
      <c r="K38" s="14">
        <f>IF(OR($A38="",$G38=""),"",$G38-(IFERROR(INDEX('06-Precificacao'!$G$4:$G$123,MATCH($A38,'06-Precificacao'!$A$4:$A$123,0)),0)-IFERROR(INDEX('06-Precificacao'!$E$4:$E$123,MATCH($A38,'06-Precificacao'!$A$4:$A$123,0)),0)+IFERROR(INDEX('05-Financeiro'!$E$4:$E$123,MATCH($A38,'05-Financeiro'!$A$4:$A$123,0)),0))-($G38*'00-Parametros'!$C$9)-($G38*'00-Parametros'!$C$10)-IFERROR(INDEX('03-Marketing'!$C$4:$C$123,MATCH($A38,'03-Marketing'!$A$4:$A$123,0)),0)-($G38*'00-Parametros'!$C$12))</f>
        <v/>
      </c>
      <c r="L38" s="17">
        <f>IF(OR($A38="",$G38="",$G38=0),"",$K38/$G38)</f>
        <v/>
      </c>
    </row>
    <row r="39">
      <c r="A39" s="16" t="n"/>
      <c r="B39" s="5">
        <f>IF($A39="","",IFERROR(INDEX('01-Cadastro-Motos'!$B$4:$B$123,MATCH($A39,'01-Cadastro-Motos'!$A$4:$A$123,0)),""))</f>
        <v/>
      </c>
      <c r="C39" s="16" t="n"/>
      <c r="D39" s="23" t="n"/>
      <c r="E39" s="14">
        <f>IF($A39="","",IFERROR(INDEX('06-Precificacao'!$I$4:$I$123,MATCH($A39,'06-Precificacao'!$A$4:$A$123,0)),0))</f>
        <v/>
      </c>
      <c r="F39" s="14">
        <f>IF($A39="","",IFERROR(INDEX('06-Precificacao'!$K$4:$K$123,MATCH($A39,'06-Precificacao'!$A$4:$A$123,0)),0))</f>
        <v/>
      </c>
      <c r="G39" s="9" t="n"/>
      <c r="H39" s="14">
        <f>IF(OR($A39="",$G39=""),"",$E39-$G39)</f>
        <v/>
      </c>
      <c r="I39" s="17">
        <f>IF(OR($A39="",$G39="",$E39=0),"",$H39/$E39)</f>
        <v/>
      </c>
      <c r="J39" s="5">
        <f>IF(OR($A39="",$G39=""),"",IF($G39&lt;$F39,"SIM - abaixo do LP","Não"))</f>
        <v/>
      </c>
      <c r="K39" s="14">
        <f>IF(OR($A39="",$G39=""),"",$G39-(IFERROR(INDEX('06-Precificacao'!$G$4:$G$123,MATCH($A39,'06-Precificacao'!$A$4:$A$123,0)),0)-IFERROR(INDEX('06-Precificacao'!$E$4:$E$123,MATCH($A39,'06-Precificacao'!$A$4:$A$123,0)),0)+IFERROR(INDEX('05-Financeiro'!$E$4:$E$123,MATCH($A39,'05-Financeiro'!$A$4:$A$123,0)),0))-($G39*'00-Parametros'!$C$9)-($G39*'00-Parametros'!$C$10)-IFERROR(INDEX('03-Marketing'!$C$4:$C$123,MATCH($A39,'03-Marketing'!$A$4:$A$123,0)),0)-($G39*'00-Parametros'!$C$12))</f>
        <v/>
      </c>
      <c r="L39" s="17">
        <f>IF(OR($A39="",$G39="",$G39=0),"",$K39/$G39)</f>
        <v/>
      </c>
    </row>
    <row r="40">
      <c r="A40" s="16" t="n"/>
      <c r="B40" s="5">
        <f>IF($A40="","",IFERROR(INDEX('01-Cadastro-Motos'!$B$4:$B$123,MATCH($A40,'01-Cadastro-Motos'!$A$4:$A$123,0)),""))</f>
        <v/>
      </c>
      <c r="C40" s="16" t="n"/>
      <c r="D40" s="23" t="n"/>
      <c r="E40" s="14">
        <f>IF($A40="","",IFERROR(INDEX('06-Precificacao'!$I$4:$I$123,MATCH($A40,'06-Precificacao'!$A$4:$A$123,0)),0))</f>
        <v/>
      </c>
      <c r="F40" s="14">
        <f>IF($A40="","",IFERROR(INDEX('06-Precificacao'!$K$4:$K$123,MATCH($A40,'06-Precificacao'!$A$4:$A$123,0)),0))</f>
        <v/>
      </c>
      <c r="G40" s="9" t="n"/>
      <c r="H40" s="14">
        <f>IF(OR($A40="",$G40=""),"",$E40-$G40)</f>
        <v/>
      </c>
      <c r="I40" s="17">
        <f>IF(OR($A40="",$G40="",$E40=0),"",$H40/$E40)</f>
        <v/>
      </c>
      <c r="J40" s="5">
        <f>IF(OR($A40="",$G40=""),"",IF($G40&lt;$F40,"SIM - abaixo do LP","Não"))</f>
        <v/>
      </c>
      <c r="K40" s="14">
        <f>IF(OR($A40="",$G40=""),"",$G40-(IFERROR(INDEX('06-Precificacao'!$G$4:$G$123,MATCH($A40,'06-Precificacao'!$A$4:$A$123,0)),0)-IFERROR(INDEX('06-Precificacao'!$E$4:$E$123,MATCH($A40,'06-Precificacao'!$A$4:$A$123,0)),0)+IFERROR(INDEX('05-Financeiro'!$E$4:$E$123,MATCH($A40,'05-Financeiro'!$A$4:$A$123,0)),0))-($G40*'00-Parametros'!$C$9)-($G40*'00-Parametros'!$C$10)-IFERROR(INDEX('03-Marketing'!$C$4:$C$123,MATCH($A40,'03-Marketing'!$A$4:$A$123,0)),0)-($G40*'00-Parametros'!$C$12))</f>
        <v/>
      </c>
      <c r="L40" s="17">
        <f>IF(OR($A40="",$G40="",$G40=0),"",$K40/$G40)</f>
        <v/>
      </c>
    </row>
    <row r="41">
      <c r="A41" s="16" t="n"/>
      <c r="B41" s="5">
        <f>IF($A41="","",IFERROR(INDEX('01-Cadastro-Motos'!$B$4:$B$123,MATCH($A41,'01-Cadastro-Motos'!$A$4:$A$123,0)),""))</f>
        <v/>
      </c>
      <c r="C41" s="16" t="n"/>
      <c r="D41" s="23" t="n"/>
      <c r="E41" s="14">
        <f>IF($A41="","",IFERROR(INDEX('06-Precificacao'!$I$4:$I$123,MATCH($A41,'06-Precificacao'!$A$4:$A$123,0)),0))</f>
        <v/>
      </c>
      <c r="F41" s="14">
        <f>IF($A41="","",IFERROR(INDEX('06-Precificacao'!$K$4:$K$123,MATCH($A41,'06-Precificacao'!$A$4:$A$123,0)),0))</f>
        <v/>
      </c>
      <c r="G41" s="9" t="n"/>
      <c r="H41" s="14">
        <f>IF(OR($A41="",$G41=""),"",$E41-$G41)</f>
        <v/>
      </c>
      <c r="I41" s="17">
        <f>IF(OR($A41="",$G41="",$E41=0),"",$H41/$E41)</f>
        <v/>
      </c>
      <c r="J41" s="5">
        <f>IF(OR($A41="",$G41=""),"",IF($G41&lt;$F41,"SIM - abaixo do LP","Não"))</f>
        <v/>
      </c>
      <c r="K41" s="14">
        <f>IF(OR($A41="",$G41=""),"",$G41-(IFERROR(INDEX('06-Precificacao'!$G$4:$G$123,MATCH($A41,'06-Precificacao'!$A$4:$A$123,0)),0)-IFERROR(INDEX('06-Precificacao'!$E$4:$E$123,MATCH($A41,'06-Precificacao'!$A$4:$A$123,0)),0)+IFERROR(INDEX('05-Financeiro'!$E$4:$E$123,MATCH($A41,'05-Financeiro'!$A$4:$A$123,0)),0))-($G41*'00-Parametros'!$C$9)-($G41*'00-Parametros'!$C$10)-IFERROR(INDEX('03-Marketing'!$C$4:$C$123,MATCH($A41,'03-Marketing'!$A$4:$A$123,0)),0)-($G41*'00-Parametros'!$C$12))</f>
        <v/>
      </c>
      <c r="L41" s="17">
        <f>IF(OR($A41="",$G41="",$G41=0),"",$K41/$G41)</f>
        <v/>
      </c>
    </row>
    <row r="42">
      <c r="A42" s="16" t="n"/>
      <c r="B42" s="5">
        <f>IF($A42="","",IFERROR(INDEX('01-Cadastro-Motos'!$B$4:$B$123,MATCH($A42,'01-Cadastro-Motos'!$A$4:$A$123,0)),""))</f>
        <v/>
      </c>
      <c r="C42" s="16" t="n"/>
      <c r="D42" s="23" t="n"/>
      <c r="E42" s="14">
        <f>IF($A42="","",IFERROR(INDEX('06-Precificacao'!$I$4:$I$123,MATCH($A42,'06-Precificacao'!$A$4:$A$123,0)),0))</f>
        <v/>
      </c>
      <c r="F42" s="14">
        <f>IF($A42="","",IFERROR(INDEX('06-Precificacao'!$K$4:$K$123,MATCH($A42,'06-Precificacao'!$A$4:$A$123,0)),0))</f>
        <v/>
      </c>
      <c r="G42" s="9" t="n"/>
      <c r="H42" s="14">
        <f>IF(OR($A42="",$G42=""),"",$E42-$G42)</f>
        <v/>
      </c>
      <c r="I42" s="17">
        <f>IF(OR($A42="",$G42="",$E42=0),"",$H42/$E42)</f>
        <v/>
      </c>
      <c r="J42" s="5">
        <f>IF(OR($A42="",$G42=""),"",IF($G42&lt;$F42,"SIM - abaixo do LP","Não"))</f>
        <v/>
      </c>
      <c r="K42" s="14">
        <f>IF(OR($A42="",$G42=""),"",$G42-(IFERROR(INDEX('06-Precificacao'!$G$4:$G$123,MATCH($A42,'06-Precificacao'!$A$4:$A$123,0)),0)-IFERROR(INDEX('06-Precificacao'!$E$4:$E$123,MATCH($A42,'06-Precificacao'!$A$4:$A$123,0)),0)+IFERROR(INDEX('05-Financeiro'!$E$4:$E$123,MATCH($A42,'05-Financeiro'!$A$4:$A$123,0)),0))-($G42*'00-Parametros'!$C$9)-($G42*'00-Parametros'!$C$10)-IFERROR(INDEX('03-Marketing'!$C$4:$C$123,MATCH($A42,'03-Marketing'!$A$4:$A$123,0)),0)-($G42*'00-Parametros'!$C$12))</f>
        <v/>
      </c>
      <c r="L42" s="17">
        <f>IF(OR($A42="",$G42="",$G42=0),"",$K42/$G42)</f>
        <v/>
      </c>
    </row>
    <row r="43">
      <c r="A43" s="16" t="n"/>
      <c r="B43" s="5">
        <f>IF($A43="","",IFERROR(INDEX('01-Cadastro-Motos'!$B$4:$B$123,MATCH($A43,'01-Cadastro-Motos'!$A$4:$A$123,0)),""))</f>
        <v/>
      </c>
      <c r="C43" s="16" t="n"/>
      <c r="D43" s="23" t="n"/>
      <c r="E43" s="14">
        <f>IF($A43="","",IFERROR(INDEX('06-Precificacao'!$I$4:$I$123,MATCH($A43,'06-Precificacao'!$A$4:$A$123,0)),0))</f>
        <v/>
      </c>
      <c r="F43" s="14">
        <f>IF($A43="","",IFERROR(INDEX('06-Precificacao'!$K$4:$K$123,MATCH($A43,'06-Precificacao'!$A$4:$A$123,0)),0))</f>
        <v/>
      </c>
      <c r="G43" s="9" t="n"/>
      <c r="H43" s="14">
        <f>IF(OR($A43="",$G43=""),"",$E43-$G43)</f>
        <v/>
      </c>
      <c r="I43" s="17">
        <f>IF(OR($A43="",$G43="",$E43=0),"",$H43/$E43)</f>
        <v/>
      </c>
      <c r="J43" s="5">
        <f>IF(OR($A43="",$G43=""),"",IF($G43&lt;$F43,"SIM - abaixo do LP","Não"))</f>
        <v/>
      </c>
      <c r="K43" s="14">
        <f>IF(OR($A43="",$G43=""),"",$G43-(IFERROR(INDEX('06-Precificacao'!$G$4:$G$123,MATCH($A43,'06-Precificacao'!$A$4:$A$123,0)),0)-IFERROR(INDEX('06-Precificacao'!$E$4:$E$123,MATCH($A43,'06-Precificacao'!$A$4:$A$123,0)),0)+IFERROR(INDEX('05-Financeiro'!$E$4:$E$123,MATCH($A43,'05-Financeiro'!$A$4:$A$123,0)),0))-($G43*'00-Parametros'!$C$9)-($G43*'00-Parametros'!$C$10)-IFERROR(INDEX('03-Marketing'!$C$4:$C$123,MATCH($A43,'03-Marketing'!$A$4:$A$123,0)),0)-($G43*'00-Parametros'!$C$12))</f>
        <v/>
      </c>
      <c r="L43" s="17">
        <f>IF(OR($A43="",$G43="",$G43=0),"",$K43/$G43)</f>
        <v/>
      </c>
    </row>
    <row r="44">
      <c r="A44" s="16" t="n"/>
      <c r="B44" s="5">
        <f>IF($A44="","",IFERROR(INDEX('01-Cadastro-Motos'!$B$4:$B$123,MATCH($A44,'01-Cadastro-Motos'!$A$4:$A$123,0)),""))</f>
        <v/>
      </c>
      <c r="C44" s="16" t="n"/>
      <c r="D44" s="23" t="n"/>
      <c r="E44" s="14">
        <f>IF($A44="","",IFERROR(INDEX('06-Precificacao'!$I$4:$I$123,MATCH($A44,'06-Precificacao'!$A$4:$A$123,0)),0))</f>
        <v/>
      </c>
      <c r="F44" s="14">
        <f>IF($A44="","",IFERROR(INDEX('06-Precificacao'!$K$4:$K$123,MATCH($A44,'06-Precificacao'!$A$4:$A$123,0)),0))</f>
        <v/>
      </c>
      <c r="G44" s="9" t="n"/>
      <c r="H44" s="14">
        <f>IF(OR($A44="",$G44=""),"",$E44-$G44)</f>
        <v/>
      </c>
      <c r="I44" s="17">
        <f>IF(OR($A44="",$G44="",$E44=0),"",$H44/$E44)</f>
        <v/>
      </c>
      <c r="J44" s="5">
        <f>IF(OR($A44="",$G44=""),"",IF($G44&lt;$F44,"SIM - abaixo do LP","Não"))</f>
        <v/>
      </c>
      <c r="K44" s="14">
        <f>IF(OR($A44="",$G44=""),"",$G44-(IFERROR(INDEX('06-Precificacao'!$G$4:$G$123,MATCH($A44,'06-Precificacao'!$A$4:$A$123,0)),0)-IFERROR(INDEX('06-Precificacao'!$E$4:$E$123,MATCH($A44,'06-Precificacao'!$A$4:$A$123,0)),0)+IFERROR(INDEX('05-Financeiro'!$E$4:$E$123,MATCH($A44,'05-Financeiro'!$A$4:$A$123,0)),0))-($G44*'00-Parametros'!$C$9)-($G44*'00-Parametros'!$C$10)-IFERROR(INDEX('03-Marketing'!$C$4:$C$123,MATCH($A44,'03-Marketing'!$A$4:$A$123,0)),0)-($G44*'00-Parametros'!$C$12))</f>
        <v/>
      </c>
      <c r="L44" s="17">
        <f>IF(OR($A44="",$G44="",$G44=0),"",$K44/$G44)</f>
        <v/>
      </c>
    </row>
    <row r="45">
      <c r="A45" s="16" t="n"/>
      <c r="B45" s="5">
        <f>IF($A45="","",IFERROR(INDEX('01-Cadastro-Motos'!$B$4:$B$123,MATCH($A45,'01-Cadastro-Motos'!$A$4:$A$123,0)),""))</f>
        <v/>
      </c>
      <c r="C45" s="16" t="n"/>
      <c r="D45" s="23" t="n"/>
      <c r="E45" s="14">
        <f>IF($A45="","",IFERROR(INDEX('06-Precificacao'!$I$4:$I$123,MATCH($A45,'06-Precificacao'!$A$4:$A$123,0)),0))</f>
        <v/>
      </c>
      <c r="F45" s="14">
        <f>IF($A45="","",IFERROR(INDEX('06-Precificacao'!$K$4:$K$123,MATCH($A45,'06-Precificacao'!$A$4:$A$123,0)),0))</f>
        <v/>
      </c>
      <c r="G45" s="9" t="n"/>
      <c r="H45" s="14">
        <f>IF(OR($A45="",$G45=""),"",$E45-$G45)</f>
        <v/>
      </c>
      <c r="I45" s="17">
        <f>IF(OR($A45="",$G45="",$E45=0),"",$H45/$E45)</f>
        <v/>
      </c>
      <c r="J45" s="5">
        <f>IF(OR($A45="",$G45=""),"",IF($G45&lt;$F45,"SIM - abaixo do LP","Não"))</f>
        <v/>
      </c>
      <c r="K45" s="14">
        <f>IF(OR($A45="",$G45=""),"",$G45-(IFERROR(INDEX('06-Precificacao'!$G$4:$G$123,MATCH($A45,'06-Precificacao'!$A$4:$A$123,0)),0)-IFERROR(INDEX('06-Precificacao'!$E$4:$E$123,MATCH($A45,'06-Precificacao'!$A$4:$A$123,0)),0)+IFERROR(INDEX('05-Financeiro'!$E$4:$E$123,MATCH($A45,'05-Financeiro'!$A$4:$A$123,0)),0))-($G45*'00-Parametros'!$C$9)-($G45*'00-Parametros'!$C$10)-IFERROR(INDEX('03-Marketing'!$C$4:$C$123,MATCH($A45,'03-Marketing'!$A$4:$A$123,0)),0)-($G45*'00-Parametros'!$C$12))</f>
        <v/>
      </c>
      <c r="L45" s="17">
        <f>IF(OR($A45="",$G45="",$G45=0),"",$K45/$G45)</f>
        <v/>
      </c>
    </row>
    <row r="46">
      <c r="A46" s="16" t="n"/>
      <c r="B46" s="5">
        <f>IF($A46="","",IFERROR(INDEX('01-Cadastro-Motos'!$B$4:$B$123,MATCH($A46,'01-Cadastro-Motos'!$A$4:$A$123,0)),""))</f>
        <v/>
      </c>
      <c r="C46" s="16" t="n"/>
      <c r="D46" s="23" t="n"/>
      <c r="E46" s="14">
        <f>IF($A46="","",IFERROR(INDEX('06-Precificacao'!$I$4:$I$123,MATCH($A46,'06-Precificacao'!$A$4:$A$123,0)),0))</f>
        <v/>
      </c>
      <c r="F46" s="14">
        <f>IF($A46="","",IFERROR(INDEX('06-Precificacao'!$K$4:$K$123,MATCH($A46,'06-Precificacao'!$A$4:$A$123,0)),0))</f>
        <v/>
      </c>
      <c r="G46" s="9" t="n"/>
      <c r="H46" s="14">
        <f>IF(OR($A46="",$G46=""),"",$E46-$G46)</f>
        <v/>
      </c>
      <c r="I46" s="17">
        <f>IF(OR($A46="",$G46="",$E46=0),"",$H46/$E46)</f>
        <v/>
      </c>
      <c r="J46" s="5">
        <f>IF(OR($A46="",$G46=""),"",IF($G46&lt;$F46,"SIM - abaixo do LP","Não"))</f>
        <v/>
      </c>
      <c r="K46" s="14">
        <f>IF(OR($A46="",$G46=""),"",$G46-(IFERROR(INDEX('06-Precificacao'!$G$4:$G$123,MATCH($A46,'06-Precificacao'!$A$4:$A$123,0)),0)-IFERROR(INDEX('06-Precificacao'!$E$4:$E$123,MATCH($A46,'06-Precificacao'!$A$4:$A$123,0)),0)+IFERROR(INDEX('05-Financeiro'!$E$4:$E$123,MATCH($A46,'05-Financeiro'!$A$4:$A$123,0)),0))-($G46*'00-Parametros'!$C$9)-($G46*'00-Parametros'!$C$10)-IFERROR(INDEX('03-Marketing'!$C$4:$C$123,MATCH($A46,'03-Marketing'!$A$4:$A$123,0)),0)-($G46*'00-Parametros'!$C$12))</f>
        <v/>
      </c>
      <c r="L46" s="17">
        <f>IF(OR($A46="",$G46="",$G46=0),"",$K46/$G46)</f>
        <v/>
      </c>
    </row>
    <row r="47">
      <c r="A47" s="16" t="n"/>
      <c r="B47" s="5">
        <f>IF($A47="","",IFERROR(INDEX('01-Cadastro-Motos'!$B$4:$B$123,MATCH($A47,'01-Cadastro-Motos'!$A$4:$A$123,0)),""))</f>
        <v/>
      </c>
      <c r="C47" s="16" t="n"/>
      <c r="D47" s="23" t="n"/>
      <c r="E47" s="14">
        <f>IF($A47="","",IFERROR(INDEX('06-Precificacao'!$I$4:$I$123,MATCH($A47,'06-Precificacao'!$A$4:$A$123,0)),0))</f>
        <v/>
      </c>
      <c r="F47" s="14">
        <f>IF($A47="","",IFERROR(INDEX('06-Precificacao'!$K$4:$K$123,MATCH($A47,'06-Precificacao'!$A$4:$A$123,0)),0))</f>
        <v/>
      </c>
      <c r="G47" s="9" t="n"/>
      <c r="H47" s="14">
        <f>IF(OR($A47="",$G47=""),"",$E47-$G47)</f>
        <v/>
      </c>
      <c r="I47" s="17">
        <f>IF(OR($A47="",$G47="",$E47=0),"",$H47/$E47)</f>
        <v/>
      </c>
      <c r="J47" s="5">
        <f>IF(OR($A47="",$G47=""),"",IF($G47&lt;$F47,"SIM - abaixo do LP","Não"))</f>
        <v/>
      </c>
      <c r="K47" s="14">
        <f>IF(OR($A47="",$G47=""),"",$G47-(IFERROR(INDEX('06-Precificacao'!$G$4:$G$123,MATCH($A47,'06-Precificacao'!$A$4:$A$123,0)),0)-IFERROR(INDEX('06-Precificacao'!$E$4:$E$123,MATCH($A47,'06-Precificacao'!$A$4:$A$123,0)),0)+IFERROR(INDEX('05-Financeiro'!$E$4:$E$123,MATCH($A47,'05-Financeiro'!$A$4:$A$123,0)),0))-($G47*'00-Parametros'!$C$9)-($G47*'00-Parametros'!$C$10)-IFERROR(INDEX('03-Marketing'!$C$4:$C$123,MATCH($A47,'03-Marketing'!$A$4:$A$123,0)),0)-($G47*'00-Parametros'!$C$12))</f>
        <v/>
      </c>
      <c r="L47" s="17">
        <f>IF(OR($A47="",$G47="",$G47=0),"",$K47/$G47)</f>
        <v/>
      </c>
    </row>
    <row r="48">
      <c r="A48" s="16" t="n"/>
      <c r="B48" s="5">
        <f>IF($A48="","",IFERROR(INDEX('01-Cadastro-Motos'!$B$4:$B$123,MATCH($A48,'01-Cadastro-Motos'!$A$4:$A$123,0)),""))</f>
        <v/>
      </c>
      <c r="C48" s="16" t="n"/>
      <c r="D48" s="23" t="n"/>
      <c r="E48" s="14">
        <f>IF($A48="","",IFERROR(INDEX('06-Precificacao'!$I$4:$I$123,MATCH($A48,'06-Precificacao'!$A$4:$A$123,0)),0))</f>
        <v/>
      </c>
      <c r="F48" s="14">
        <f>IF($A48="","",IFERROR(INDEX('06-Precificacao'!$K$4:$K$123,MATCH($A48,'06-Precificacao'!$A$4:$A$123,0)),0))</f>
        <v/>
      </c>
      <c r="G48" s="9" t="n"/>
      <c r="H48" s="14">
        <f>IF(OR($A48="",$G48=""),"",$E48-$G48)</f>
        <v/>
      </c>
      <c r="I48" s="17">
        <f>IF(OR($A48="",$G48="",$E48=0),"",$H48/$E48)</f>
        <v/>
      </c>
      <c r="J48" s="5">
        <f>IF(OR($A48="",$G48=""),"",IF($G48&lt;$F48,"SIM - abaixo do LP","Não"))</f>
        <v/>
      </c>
      <c r="K48" s="14">
        <f>IF(OR($A48="",$G48=""),"",$G48-(IFERROR(INDEX('06-Precificacao'!$G$4:$G$123,MATCH($A48,'06-Precificacao'!$A$4:$A$123,0)),0)-IFERROR(INDEX('06-Precificacao'!$E$4:$E$123,MATCH($A48,'06-Precificacao'!$A$4:$A$123,0)),0)+IFERROR(INDEX('05-Financeiro'!$E$4:$E$123,MATCH($A48,'05-Financeiro'!$A$4:$A$123,0)),0))-($G48*'00-Parametros'!$C$9)-($G48*'00-Parametros'!$C$10)-IFERROR(INDEX('03-Marketing'!$C$4:$C$123,MATCH($A48,'03-Marketing'!$A$4:$A$123,0)),0)-($G48*'00-Parametros'!$C$12))</f>
        <v/>
      </c>
      <c r="L48" s="17">
        <f>IF(OR($A48="",$G48="",$G48=0),"",$K48/$G48)</f>
        <v/>
      </c>
    </row>
    <row r="49">
      <c r="A49" s="16" t="n"/>
      <c r="B49" s="5">
        <f>IF($A49="","",IFERROR(INDEX('01-Cadastro-Motos'!$B$4:$B$123,MATCH($A49,'01-Cadastro-Motos'!$A$4:$A$123,0)),""))</f>
        <v/>
      </c>
      <c r="C49" s="16" t="n"/>
      <c r="D49" s="23" t="n"/>
      <c r="E49" s="14">
        <f>IF($A49="","",IFERROR(INDEX('06-Precificacao'!$I$4:$I$123,MATCH($A49,'06-Precificacao'!$A$4:$A$123,0)),0))</f>
        <v/>
      </c>
      <c r="F49" s="14">
        <f>IF($A49="","",IFERROR(INDEX('06-Precificacao'!$K$4:$K$123,MATCH($A49,'06-Precificacao'!$A$4:$A$123,0)),0))</f>
        <v/>
      </c>
      <c r="G49" s="9" t="n"/>
      <c r="H49" s="14">
        <f>IF(OR($A49="",$G49=""),"",$E49-$G49)</f>
        <v/>
      </c>
      <c r="I49" s="17">
        <f>IF(OR($A49="",$G49="",$E49=0),"",$H49/$E49)</f>
        <v/>
      </c>
      <c r="J49" s="5">
        <f>IF(OR($A49="",$G49=""),"",IF($G49&lt;$F49,"SIM - abaixo do LP","Não"))</f>
        <v/>
      </c>
      <c r="K49" s="14">
        <f>IF(OR($A49="",$G49=""),"",$G49-(IFERROR(INDEX('06-Precificacao'!$G$4:$G$123,MATCH($A49,'06-Precificacao'!$A$4:$A$123,0)),0)-IFERROR(INDEX('06-Precificacao'!$E$4:$E$123,MATCH($A49,'06-Precificacao'!$A$4:$A$123,0)),0)+IFERROR(INDEX('05-Financeiro'!$E$4:$E$123,MATCH($A49,'05-Financeiro'!$A$4:$A$123,0)),0))-($G49*'00-Parametros'!$C$9)-($G49*'00-Parametros'!$C$10)-IFERROR(INDEX('03-Marketing'!$C$4:$C$123,MATCH($A49,'03-Marketing'!$A$4:$A$123,0)),0)-($G49*'00-Parametros'!$C$12))</f>
        <v/>
      </c>
      <c r="L49" s="17">
        <f>IF(OR($A49="",$G49="",$G49=0),"",$K49/$G49)</f>
        <v/>
      </c>
    </row>
    <row r="50">
      <c r="A50" s="16" t="n"/>
      <c r="B50" s="5">
        <f>IF($A50="","",IFERROR(INDEX('01-Cadastro-Motos'!$B$4:$B$123,MATCH($A50,'01-Cadastro-Motos'!$A$4:$A$123,0)),""))</f>
        <v/>
      </c>
      <c r="C50" s="16" t="n"/>
      <c r="D50" s="23" t="n"/>
      <c r="E50" s="14">
        <f>IF($A50="","",IFERROR(INDEX('06-Precificacao'!$I$4:$I$123,MATCH($A50,'06-Precificacao'!$A$4:$A$123,0)),0))</f>
        <v/>
      </c>
      <c r="F50" s="14">
        <f>IF($A50="","",IFERROR(INDEX('06-Precificacao'!$K$4:$K$123,MATCH($A50,'06-Precificacao'!$A$4:$A$123,0)),0))</f>
        <v/>
      </c>
      <c r="G50" s="9" t="n"/>
      <c r="H50" s="14">
        <f>IF(OR($A50="",$G50=""),"",$E50-$G50)</f>
        <v/>
      </c>
      <c r="I50" s="17">
        <f>IF(OR($A50="",$G50="",$E50=0),"",$H50/$E50)</f>
        <v/>
      </c>
      <c r="J50" s="5">
        <f>IF(OR($A50="",$G50=""),"",IF($G50&lt;$F50,"SIM - abaixo do LP","Não"))</f>
        <v/>
      </c>
      <c r="K50" s="14">
        <f>IF(OR($A50="",$G50=""),"",$G50-(IFERROR(INDEX('06-Precificacao'!$G$4:$G$123,MATCH($A50,'06-Precificacao'!$A$4:$A$123,0)),0)-IFERROR(INDEX('06-Precificacao'!$E$4:$E$123,MATCH($A50,'06-Precificacao'!$A$4:$A$123,0)),0)+IFERROR(INDEX('05-Financeiro'!$E$4:$E$123,MATCH($A50,'05-Financeiro'!$A$4:$A$123,0)),0))-($G50*'00-Parametros'!$C$9)-($G50*'00-Parametros'!$C$10)-IFERROR(INDEX('03-Marketing'!$C$4:$C$123,MATCH($A50,'03-Marketing'!$A$4:$A$123,0)),0)-($G50*'00-Parametros'!$C$12))</f>
        <v/>
      </c>
      <c r="L50" s="17">
        <f>IF(OR($A50="",$G50="",$G50=0),"",$K50/$G50)</f>
        <v/>
      </c>
    </row>
    <row r="51">
      <c r="A51" s="16" t="n"/>
      <c r="B51" s="5">
        <f>IF($A51="","",IFERROR(INDEX('01-Cadastro-Motos'!$B$4:$B$123,MATCH($A51,'01-Cadastro-Motos'!$A$4:$A$123,0)),""))</f>
        <v/>
      </c>
      <c r="C51" s="16" t="n"/>
      <c r="D51" s="23" t="n"/>
      <c r="E51" s="14">
        <f>IF($A51="","",IFERROR(INDEX('06-Precificacao'!$I$4:$I$123,MATCH($A51,'06-Precificacao'!$A$4:$A$123,0)),0))</f>
        <v/>
      </c>
      <c r="F51" s="14">
        <f>IF($A51="","",IFERROR(INDEX('06-Precificacao'!$K$4:$K$123,MATCH($A51,'06-Precificacao'!$A$4:$A$123,0)),0))</f>
        <v/>
      </c>
      <c r="G51" s="9" t="n"/>
      <c r="H51" s="14">
        <f>IF(OR($A51="",$G51=""),"",$E51-$G51)</f>
        <v/>
      </c>
      <c r="I51" s="17">
        <f>IF(OR($A51="",$G51="",$E51=0),"",$H51/$E51)</f>
        <v/>
      </c>
      <c r="J51" s="5">
        <f>IF(OR($A51="",$G51=""),"",IF($G51&lt;$F51,"SIM - abaixo do LP","Não"))</f>
        <v/>
      </c>
      <c r="K51" s="14">
        <f>IF(OR($A51="",$G51=""),"",$G51-(IFERROR(INDEX('06-Precificacao'!$G$4:$G$123,MATCH($A51,'06-Precificacao'!$A$4:$A$123,0)),0)-IFERROR(INDEX('06-Precificacao'!$E$4:$E$123,MATCH($A51,'06-Precificacao'!$A$4:$A$123,0)),0)+IFERROR(INDEX('05-Financeiro'!$E$4:$E$123,MATCH($A51,'05-Financeiro'!$A$4:$A$123,0)),0))-($G51*'00-Parametros'!$C$9)-($G51*'00-Parametros'!$C$10)-IFERROR(INDEX('03-Marketing'!$C$4:$C$123,MATCH($A51,'03-Marketing'!$A$4:$A$123,0)),0)-($G51*'00-Parametros'!$C$12))</f>
        <v/>
      </c>
      <c r="L51" s="17">
        <f>IF(OR($A51="",$G51="",$G51=0),"",$K51/$G51)</f>
        <v/>
      </c>
    </row>
    <row r="52">
      <c r="A52" s="16" t="n"/>
      <c r="B52" s="5">
        <f>IF($A52="","",IFERROR(INDEX('01-Cadastro-Motos'!$B$4:$B$123,MATCH($A52,'01-Cadastro-Motos'!$A$4:$A$123,0)),""))</f>
        <v/>
      </c>
      <c r="C52" s="16" t="n"/>
      <c r="D52" s="23" t="n"/>
      <c r="E52" s="14">
        <f>IF($A52="","",IFERROR(INDEX('06-Precificacao'!$I$4:$I$123,MATCH($A52,'06-Precificacao'!$A$4:$A$123,0)),0))</f>
        <v/>
      </c>
      <c r="F52" s="14">
        <f>IF($A52="","",IFERROR(INDEX('06-Precificacao'!$K$4:$K$123,MATCH($A52,'06-Precificacao'!$A$4:$A$123,0)),0))</f>
        <v/>
      </c>
      <c r="G52" s="9" t="n"/>
      <c r="H52" s="14">
        <f>IF(OR($A52="",$G52=""),"",$E52-$G52)</f>
        <v/>
      </c>
      <c r="I52" s="17">
        <f>IF(OR($A52="",$G52="",$E52=0),"",$H52/$E52)</f>
        <v/>
      </c>
      <c r="J52" s="5">
        <f>IF(OR($A52="",$G52=""),"",IF($G52&lt;$F52,"SIM - abaixo do LP","Não"))</f>
        <v/>
      </c>
      <c r="K52" s="14">
        <f>IF(OR($A52="",$G52=""),"",$G52-(IFERROR(INDEX('06-Precificacao'!$G$4:$G$123,MATCH($A52,'06-Precificacao'!$A$4:$A$123,0)),0)-IFERROR(INDEX('06-Precificacao'!$E$4:$E$123,MATCH($A52,'06-Precificacao'!$A$4:$A$123,0)),0)+IFERROR(INDEX('05-Financeiro'!$E$4:$E$123,MATCH($A52,'05-Financeiro'!$A$4:$A$123,0)),0))-($G52*'00-Parametros'!$C$9)-($G52*'00-Parametros'!$C$10)-IFERROR(INDEX('03-Marketing'!$C$4:$C$123,MATCH($A52,'03-Marketing'!$A$4:$A$123,0)),0)-($G52*'00-Parametros'!$C$12))</f>
        <v/>
      </c>
      <c r="L52" s="17">
        <f>IF(OR($A52="",$G52="",$G52=0),"",$K52/$G52)</f>
        <v/>
      </c>
    </row>
    <row r="53">
      <c r="A53" s="16" t="n"/>
      <c r="B53" s="5">
        <f>IF($A53="","",IFERROR(INDEX('01-Cadastro-Motos'!$B$4:$B$123,MATCH($A53,'01-Cadastro-Motos'!$A$4:$A$123,0)),""))</f>
        <v/>
      </c>
      <c r="C53" s="16" t="n"/>
      <c r="D53" s="23" t="n"/>
      <c r="E53" s="14">
        <f>IF($A53="","",IFERROR(INDEX('06-Precificacao'!$I$4:$I$123,MATCH($A53,'06-Precificacao'!$A$4:$A$123,0)),0))</f>
        <v/>
      </c>
      <c r="F53" s="14">
        <f>IF($A53="","",IFERROR(INDEX('06-Precificacao'!$K$4:$K$123,MATCH($A53,'06-Precificacao'!$A$4:$A$123,0)),0))</f>
        <v/>
      </c>
      <c r="G53" s="9" t="n"/>
      <c r="H53" s="14">
        <f>IF(OR($A53="",$G53=""),"",$E53-$G53)</f>
        <v/>
      </c>
      <c r="I53" s="17">
        <f>IF(OR($A53="",$G53="",$E53=0),"",$H53/$E53)</f>
        <v/>
      </c>
      <c r="J53" s="5">
        <f>IF(OR($A53="",$G53=""),"",IF($G53&lt;$F53,"SIM - abaixo do LP","Não"))</f>
        <v/>
      </c>
      <c r="K53" s="14">
        <f>IF(OR($A53="",$G53=""),"",$G53-(IFERROR(INDEX('06-Precificacao'!$G$4:$G$123,MATCH($A53,'06-Precificacao'!$A$4:$A$123,0)),0)-IFERROR(INDEX('06-Precificacao'!$E$4:$E$123,MATCH($A53,'06-Precificacao'!$A$4:$A$123,0)),0)+IFERROR(INDEX('05-Financeiro'!$E$4:$E$123,MATCH($A53,'05-Financeiro'!$A$4:$A$123,0)),0))-($G53*'00-Parametros'!$C$9)-($G53*'00-Parametros'!$C$10)-IFERROR(INDEX('03-Marketing'!$C$4:$C$123,MATCH($A53,'03-Marketing'!$A$4:$A$123,0)),0)-($G53*'00-Parametros'!$C$12))</f>
        <v/>
      </c>
      <c r="L53" s="17">
        <f>IF(OR($A53="",$G53="",$G53=0),"",$K53/$G53)</f>
        <v/>
      </c>
    </row>
    <row r="54">
      <c r="A54" s="16" t="n"/>
      <c r="B54" s="5">
        <f>IF($A54="","",IFERROR(INDEX('01-Cadastro-Motos'!$B$4:$B$123,MATCH($A54,'01-Cadastro-Motos'!$A$4:$A$123,0)),""))</f>
        <v/>
      </c>
      <c r="C54" s="16" t="n"/>
      <c r="D54" s="23" t="n"/>
      <c r="E54" s="14">
        <f>IF($A54="","",IFERROR(INDEX('06-Precificacao'!$I$4:$I$123,MATCH($A54,'06-Precificacao'!$A$4:$A$123,0)),0))</f>
        <v/>
      </c>
      <c r="F54" s="14">
        <f>IF($A54="","",IFERROR(INDEX('06-Precificacao'!$K$4:$K$123,MATCH($A54,'06-Precificacao'!$A$4:$A$123,0)),0))</f>
        <v/>
      </c>
      <c r="G54" s="9" t="n"/>
      <c r="H54" s="14">
        <f>IF(OR($A54="",$G54=""),"",$E54-$G54)</f>
        <v/>
      </c>
      <c r="I54" s="17">
        <f>IF(OR($A54="",$G54="",$E54=0),"",$H54/$E54)</f>
        <v/>
      </c>
      <c r="J54" s="5">
        <f>IF(OR($A54="",$G54=""),"",IF($G54&lt;$F54,"SIM - abaixo do LP","Não"))</f>
        <v/>
      </c>
      <c r="K54" s="14">
        <f>IF(OR($A54="",$G54=""),"",$G54-(IFERROR(INDEX('06-Precificacao'!$G$4:$G$123,MATCH($A54,'06-Precificacao'!$A$4:$A$123,0)),0)-IFERROR(INDEX('06-Precificacao'!$E$4:$E$123,MATCH($A54,'06-Precificacao'!$A$4:$A$123,0)),0)+IFERROR(INDEX('05-Financeiro'!$E$4:$E$123,MATCH($A54,'05-Financeiro'!$A$4:$A$123,0)),0))-($G54*'00-Parametros'!$C$9)-($G54*'00-Parametros'!$C$10)-IFERROR(INDEX('03-Marketing'!$C$4:$C$123,MATCH($A54,'03-Marketing'!$A$4:$A$123,0)),0)-($G54*'00-Parametros'!$C$12))</f>
        <v/>
      </c>
      <c r="L54" s="17">
        <f>IF(OR($A54="",$G54="",$G54=0),"",$K54/$G54)</f>
        <v/>
      </c>
    </row>
    <row r="55">
      <c r="A55" s="16" t="n"/>
      <c r="B55" s="5">
        <f>IF($A55="","",IFERROR(INDEX('01-Cadastro-Motos'!$B$4:$B$123,MATCH($A55,'01-Cadastro-Motos'!$A$4:$A$123,0)),""))</f>
        <v/>
      </c>
      <c r="C55" s="16" t="n"/>
      <c r="D55" s="23" t="n"/>
      <c r="E55" s="14">
        <f>IF($A55="","",IFERROR(INDEX('06-Precificacao'!$I$4:$I$123,MATCH($A55,'06-Precificacao'!$A$4:$A$123,0)),0))</f>
        <v/>
      </c>
      <c r="F55" s="14">
        <f>IF($A55="","",IFERROR(INDEX('06-Precificacao'!$K$4:$K$123,MATCH($A55,'06-Precificacao'!$A$4:$A$123,0)),0))</f>
        <v/>
      </c>
      <c r="G55" s="9" t="n"/>
      <c r="H55" s="14">
        <f>IF(OR($A55="",$G55=""),"",$E55-$G55)</f>
        <v/>
      </c>
      <c r="I55" s="17">
        <f>IF(OR($A55="",$G55="",$E55=0),"",$H55/$E55)</f>
        <v/>
      </c>
      <c r="J55" s="5">
        <f>IF(OR($A55="",$G55=""),"",IF($G55&lt;$F55,"SIM - abaixo do LP","Não"))</f>
        <v/>
      </c>
      <c r="K55" s="14">
        <f>IF(OR($A55="",$G55=""),"",$G55-(IFERROR(INDEX('06-Precificacao'!$G$4:$G$123,MATCH($A55,'06-Precificacao'!$A$4:$A$123,0)),0)-IFERROR(INDEX('06-Precificacao'!$E$4:$E$123,MATCH($A55,'06-Precificacao'!$A$4:$A$123,0)),0)+IFERROR(INDEX('05-Financeiro'!$E$4:$E$123,MATCH($A55,'05-Financeiro'!$A$4:$A$123,0)),0))-($G55*'00-Parametros'!$C$9)-($G55*'00-Parametros'!$C$10)-IFERROR(INDEX('03-Marketing'!$C$4:$C$123,MATCH($A55,'03-Marketing'!$A$4:$A$123,0)),0)-($G55*'00-Parametros'!$C$12))</f>
        <v/>
      </c>
      <c r="L55" s="17">
        <f>IF(OR($A55="",$G55="",$G55=0),"",$K55/$G55)</f>
        <v/>
      </c>
    </row>
    <row r="56">
      <c r="A56" s="16" t="n"/>
      <c r="B56" s="5">
        <f>IF($A56="","",IFERROR(INDEX('01-Cadastro-Motos'!$B$4:$B$123,MATCH($A56,'01-Cadastro-Motos'!$A$4:$A$123,0)),""))</f>
        <v/>
      </c>
      <c r="C56" s="16" t="n"/>
      <c r="D56" s="23" t="n"/>
      <c r="E56" s="14">
        <f>IF($A56="","",IFERROR(INDEX('06-Precificacao'!$I$4:$I$123,MATCH($A56,'06-Precificacao'!$A$4:$A$123,0)),0))</f>
        <v/>
      </c>
      <c r="F56" s="14">
        <f>IF($A56="","",IFERROR(INDEX('06-Precificacao'!$K$4:$K$123,MATCH($A56,'06-Precificacao'!$A$4:$A$123,0)),0))</f>
        <v/>
      </c>
      <c r="G56" s="9" t="n"/>
      <c r="H56" s="14">
        <f>IF(OR($A56="",$G56=""),"",$E56-$G56)</f>
        <v/>
      </c>
      <c r="I56" s="17">
        <f>IF(OR($A56="",$G56="",$E56=0),"",$H56/$E56)</f>
        <v/>
      </c>
      <c r="J56" s="5">
        <f>IF(OR($A56="",$G56=""),"",IF($G56&lt;$F56,"SIM - abaixo do LP","Não"))</f>
        <v/>
      </c>
      <c r="K56" s="14">
        <f>IF(OR($A56="",$G56=""),"",$G56-(IFERROR(INDEX('06-Precificacao'!$G$4:$G$123,MATCH($A56,'06-Precificacao'!$A$4:$A$123,0)),0)-IFERROR(INDEX('06-Precificacao'!$E$4:$E$123,MATCH($A56,'06-Precificacao'!$A$4:$A$123,0)),0)+IFERROR(INDEX('05-Financeiro'!$E$4:$E$123,MATCH($A56,'05-Financeiro'!$A$4:$A$123,0)),0))-($G56*'00-Parametros'!$C$9)-($G56*'00-Parametros'!$C$10)-IFERROR(INDEX('03-Marketing'!$C$4:$C$123,MATCH($A56,'03-Marketing'!$A$4:$A$123,0)),0)-($G56*'00-Parametros'!$C$12))</f>
        <v/>
      </c>
      <c r="L56" s="17">
        <f>IF(OR($A56="",$G56="",$G56=0),"",$K56/$G56)</f>
        <v/>
      </c>
    </row>
    <row r="57">
      <c r="A57" s="16" t="n"/>
      <c r="B57" s="5">
        <f>IF($A57="","",IFERROR(INDEX('01-Cadastro-Motos'!$B$4:$B$123,MATCH($A57,'01-Cadastro-Motos'!$A$4:$A$123,0)),""))</f>
        <v/>
      </c>
      <c r="C57" s="16" t="n"/>
      <c r="D57" s="23" t="n"/>
      <c r="E57" s="14">
        <f>IF($A57="","",IFERROR(INDEX('06-Precificacao'!$I$4:$I$123,MATCH($A57,'06-Precificacao'!$A$4:$A$123,0)),0))</f>
        <v/>
      </c>
      <c r="F57" s="14">
        <f>IF($A57="","",IFERROR(INDEX('06-Precificacao'!$K$4:$K$123,MATCH($A57,'06-Precificacao'!$A$4:$A$123,0)),0))</f>
        <v/>
      </c>
      <c r="G57" s="9" t="n"/>
      <c r="H57" s="14">
        <f>IF(OR($A57="",$G57=""),"",$E57-$G57)</f>
        <v/>
      </c>
      <c r="I57" s="17">
        <f>IF(OR($A57="",$G57="",$E57=0),"",$H57/$E57)</f>
        <v/>
      </c>
      <c r="J57" s="5">
        <f>IF(OR($A57="",$G57=""),"",IF($G57&lt;$F57,"SIM - abaixo do LP","Não"))</f>
        <v/>
      </c>
      <c r="K57" s="14">
        <f>IF(OR($A57="",$G57=""),"",$G57-(IFERROR(INDEX('06-Precificacao'!$G$4:$G$123,MATCH($A57,'06-Precificacao'!$A$4:$A$123,0)),0)-IFERROR(INDEX('06-Precificacao'!$E$4:$E$123,MATCH($A57,'06-Precificacao'!$A$4:$A$123,0)),0)+IFERROR(INDEX('05-Financeiro'!$E$4:$E$123,MATCH($A57,'05-Financeiro'!$A$4:$A$123,0)),0))-($G57*'00-Parametros'!$C$9)-($G57*'00-Parametros'!$C$10)-IFERROR(INDEX('03-Marketing'!$C$4:$C$123,MATCH($A57,'03-Marketing'!$A$4:$A$123,0)),0)-($G57*'00-Parametros'!$C$12))</f>
        <v/>
      </c>
      <c r="L57" s="17">
        <f>IF(OR($A57="",$G57="",$G57=0),"",$K57/$G57)</f>
        <v/>
      </c>
    </row>
    <row r="58">
      <c r="A58" s="16" t="n"/>
      <c r="B58" s="5">
        <f>IF($A58="","",IFERROR(INDEX('01-Cadastro-Motos'!$B$4:$B$123,MATCH($A58,'01-Cadastro-Motos'!$A$4:$A$123,0)),""))</f>
        <v/>
      </c>
      <c r="C58" s="16" t="n"/>
      <c r="D58" s="23" t="n"/>
      <c r="E58" s="14">
        <f>IF($A58="","",IFERROR(INDEX('06-Precificacao'!$I$4:$I$123,MATCH($A58,'06-Precificacao'!$A$4:$A$123,0)),0))</f>
        <v/>
      </c>
      <c r="F58" s="14">
        <f>IF($A58="","",IFERROR(INDEX('06-Precificacao'!$K$4:$K$123,MATCH($A58,'06-Precificacao'!$A$4:$A$123,0)),0))</f>
        <v/>
      </c>
      <c r="G58" s="9" t="n"/>
      <c r="H58" s="14">
        <f>IF(OR($A58="",$G58=""),"",$E58-$G58)</f>
        <v/>
      </c>
      <c r="I58" s="17">
        <f>IF(OR($A58="",$G58="",$E58=0),"",$H58/$E58)</f>
        <v/>
      </c>
      <c r="J58" s="5">
        <f>IF(OR($A58="",$G58=""),"",IF($G58&lt;$F58,"SIM - abaixo do LP","Não"))</f>
        <v/>
      </c>
      <c r="K58" s="14">
        <f>IF(OR($A58="",$G58=""),"",$G58-(IFERROR(INDEX('06-Precificacao'!$G$4:$G$123,MATCH($A58,'06-Precificacao'!$A$4:$A$123,0)),0)-IFERROR(INDEX('06-Precificacao'!$E$4:$E$123,MATCH($A58,'06-Precificacao'!$A$4:$A$123,0)),0)+IFERROR(INDEX('05-Financeiro'!$E$4:$E$123,MATCH($A58,'05-Financeiro'!$A$4:$A$123,0)),0))-($G58*'00-Parametros'!$C$9)-($G58*'00-Parametros'!$C$10)-IFERROR(INDEX('03-Marketing'!$C$4:$C$123,MATCH($A58,'03-Marketing'!$A$4:$A$123,0)),0)-($G58*'00-Parametros'!$C$12))</f>
        <v/>
      </c>
      <c r="L58" s="17">
        <f>IF(OR($A58="",$G58="",$G58=0),"",$K58/$G58)</f>
        <v/>
      </c>
    </row>
    <row r="59">
      <c r="A59" s="16" t="n"/>
      <c r="B59" s="5">
        <f>IF($A59="","",IFERROR(INDEX('01-Cadastro-Motos'!$B$4:$B$123,MATCH($A59,'01-Cadastro-Motos'!$A$4:$A$123,0)),""))</f>
        <v/>
      </c>
      <c r="C59" s="16" t="n"/>
      <c r="D59" s="23" t="n"/>
      <c r="E59" s="14">
        <f>IF($A59="","",IFERROR(INDEX('06-Precificacao'!$I$4:$I$123,MATCH($A59,'06-Precificacao'!$A$4:$A$123,0)),0))</f>
        <v/>
      </c>
      <c r="F59" s="14">
        <f>IF($A59="","",IFERROR(INDEX('06-Precificacao'!$K$4:$K$123,MATCH($A59,'06-Precificacao'!$A$4:$A$123,0)),0))</f>
        <v/>
      </c>
      <c r="G59" s="9" t="n"/>
      <c r="H59" s="14">
        <f>IF(OR($A59="",$G59=""),"",$E59-$G59)</f>
        <v/>
      </c>
      <c r="I59" s="17">
        <f>IF(OR($A59="",$G59="",$E59=0),"",$H59/$E59)</f>
        <v/>
      </c>
      <c r="J59" s="5">
        <f>IF(OR($A59="",$G59=""),"",IF($G59&lt;$F59,"SIM - abaixo do LP","Não"))</f>
        <v/>
      </c>
      <c r="K59" s="14">
        <f>IF(OR($A59="",$G59=""),"",$G59-(IFERROR(INDEX('06-Precificacao'!$G$4:$G$123,MATCH($A59,'06-Precificacao'!$A$4:$A$123,0)),0)-IFERROR(INDEX('06-Precificacao'!$E$4:$E$123,MATCH($A59,'06-Precificacao'!$A$4:$A$123,0)),0)+IFERROR(INDEX('05-Financeiro'!$E$4:$E$123,MATCH($A59,'05-Financeiro'!$A$4:$A$123,0)),0))-($G59*'00-Parametros'!$C$9)-($G59*'00-Parametros'!$C$10)-IFERROR(INDEX('03-Marketing'!$C$4:$C$123,MATCH($A59,'03-Marketing'!$A$4:$A$123,0)),0)-($G59*'00-Parametros'!$C$12))</f>
        <v/>
      </c>
      <c r="L59" s="17">
        <f>IF(OR($A59="",$G59="",$G59=0),"",$K59/$G59)</f>
        <v/>
      </c>
    </row>
    <row r="60">
      <c r="A60" s="16" t="n"/>
      <c r="B60" s="5">
        <f>IF($A60="","",IFERROR(INDEX('01-Cadastro-Motos'!$B$4:$B$123,MATCH($A60,'01-Cadastro-Motos'!$A$4:$A$123,0)),""))</f>
        <v/>
      </c>
      <c r="C60" s="16" t="n"/>
      <c r="D60" s="23" t="n"/>
      <c r="E60" s="14">
        <f>IF($A60="","",IFERROR(INDEX('06-Precificacao'!$I$4:$I$123,MATCH($A60,'06-Precificacao'!$A$4:$A$123,0)),0))</f>
        <v/>
      </c>
      <c r="F60" s="14">
        <f>IF($A60="","",IFERROR(INDEX('06-Precificacao'!$K$4:$K$123,MATCH($A60,'06-Precificacao'!$A$4:$A$123,0)),0))</f>
        <v/>
      </c>
      <c r="G60" s="9" t="n"/>
      <c r="H60" s="14">
        <f>IF(OR($A60="",$G60=""),"",$E60-$G60)</f>
        <v/>
      </c>
      <c r="I60" s="17">
        <f>IF(OR($A60="",$G60="",$E60=0),"",$H60/$E60)</f>
        <v/>
      </c>
      <c r="J60" s="5">
        <f>IF(OR($A60="",$G60=""),"",IF($G60&lt;$F60,"SIM - abaixo do LP","Não"))</f>
        <v/>
      </c>
      <c r="K60" s="14">
        <f>IF(OR($A60="",$G60=""),"",$G60-(IFERROR(INDEX('06-Precificacao'!$G$4:$G$123,MATCH($A60,'06-Precificacao'!$A$4:$A$123,0)),0)-IFERROR(INDEX('06-Precificacao'!$E$4:$E$123,MATCH($A60,'06-Precificacao'!$A$4:$A$123,0)),0)+IFERROR(INDEX('05-Financeiro'!$E$4:$E$123,MATCH($A60,'05-Financeiro'!$A$4:$A$123,0)),0))-($G60*'00-Parametros'!$C$9)-($G60*'00-Parametros'!$C$10)-IFERROR(INDEX('03-Marketing'!$C$4:$C$123,MATCH($A60,'03-Marketing'!$A$4:$A$123,0)),0)-($G60*'00-Parametros'!$C$12))</f>
        <v/>
      </c>
      <c r="L60" s="17">
        <f>IF(OR($A60="",$G60="",$G60=0),"",$K60/$G60)</f>
        <v/>
      </c>
    </row>
    <row r="61">
      <c r="A61" s="16" t="n"/>
      <c r="B61" s="5">
        <f>IF($A61="","",IFERROR(INDEX('01-Cadastro-Motos'!$B$4:$B$123,MATCH($A61,'01-Cadastro-Motos'!$A$4:$A$123,0)),""))</f>
        <v/>
      </c>
      <c r="C61" s="16" t="n"/>
      <c r="D61" s="23" t="n"/>
      <c r="E61" s="14">
        <f>IF($A61="","",IFERROR(INDEX('06-Precificacao'!$I$4:$I$123,MATCH($A61,'06-Precificacao'!$A$4:$A$123,0)),0))</f>
        <v/>
      </c>
      <c r="F61" s="14">
        <f>IF($A61="","",IFERROR(INDEX('06-Precificacao'!$K$4:$K$123,MATCH($A61,'06-Precificacao'!$A$4:$A$123,0)),0))</f>
        <v/>
      </c>
      <c r="G61" s="9" t="n"/>
      <c r="H61" s="14">
        <f>IF(OR($A61="",$G61=""),"",$E61-$G61)</f>
        <v/>
      </c>
      <c r="I61" s="17">
        <f>IF(OR($A61="",$G61="",$E61=0),"",$H61/$E61)</f>
        <v/>
      </c>
      <c r="J61" s="5">
        <f>IF(OR($A61="",$G61=""),"",IF($G61&lt;$F61,"SIM - abaixo do LP","Não"))</f>
        <v/>
      </c>
      <c r="K61" s="14">
        <f>IF(OR($A61="",$G61=""),"",$G61-(IFERROR(INDEX('06-Precificacao'!$G$4:$G$123,MATCH($A61,'06-Precificacao'!$A$4:$A$123,0)),0)-IFERROR(INDEX('06-Precificacao'!$E$4:$E$123,MATCH($A61,'06-Precificacao'!$A$4:$A$123,0)),0)+IFERROR(INDEX('05-Financeiro'!$E$4:$E$123,MATCH($A61,'05-Financeiro'!$A$4:$A$123,0)),0))-($G61*'00-Parametros'!$C$9)-($G61*'00-Parametros'!$C$10)-IFERROR(INDEX('03-Marketing'!$C$4:$C$123,MATCH($A61,'03-Marketing'!$A$4:$A$123,0)),0)-($G61*'00-Parametros'!$C$12))</f>
        <v/>
      </c>
      <c r="L61" s="17">
        <f>IF(OR($A61="",$G61="",$G61=0),"",$K61/$G61)</f>
        <v/>
      </c>
    </row>
    <row r="62">
      <c r="A62" s="16" t="n"/>
      <c r="B62" s="5">
        <f>IF($A62="","",IFERROR(INDEX('01-Cadastro-Motos'!$B$4:$B$123,MATCH($A62,'01-Cadastro-Motos'!$A$4:$A$123,0)),""))</f>
        <v/>
      </c>
      <c r="C62" s="16" t="n"/>
      <c r="D62" s="23" t="n"/>
      <c r="E62" s="14">
        <f>IF($A62="","",IFERROR(INDEX('06-Precificacao'!$I$4:$I$123,MATCH($A62,'06-Precificacao'!$A$4:$A$123,0)),0))</f>
        <v/>
      </c>
      <c r="F62" s="14">
        <f>IF($A62="","",IFERROR(INDEX('06-Precificacao'!$K$4:$K$123,MATCH($A62,'06-Precificacao'!$A$4:$A$123,0)),0))</f>
        <v/>
      </c>
      <c r="G62" s="9" t="n"/>
      <c r="H62" s="14">
        <f>IF(OR($A62="",$G62=""),"",$E62-$G62)</f>
        <v/>
      </c>
      <c r="I62" s="17">
        <f>IF(OR($A62="",$G62="",$E62=0),"",$H62/$E62)</f>
        <v/>
      </c>
      <c r="J62" s="5">
        <f>IF(OR($A62="",$G62=""),"",IF($G62&lt;$F62,"SIM - abaixo do LP","Não"))</f>
        <v/>
      </c>
      <c r="K62" s="14">
        <f>IF(OR($A62="",$G62=""),"",$G62-(IFERROR(INDEX('06-Precificacao'!$G$4:$G$123,MATCH($A62,'06-Precificacao'!$A$4:$A$123,0)),0)-IFERROR(INDEX('06-Precificacao'!$E$4:$E$123,MATCH($A62,'06-Precificacao'!$A$4:$A$123,0)),0)+IFERROR(INDEX('05-Financeiro'!$E$4:$E$123,MATCH($A62,'05-Financeiro'!$A$4:$A$123,0)),0))-($G62*'00-Parametros'!$C$9)-($G62*'00-Parametros'!$C$10)-IFERROR(INDEX('03-Marketing'!$C$4:$C$123,MATCH($A62,'03-Marketing'!$A$4:$A$123,0)),0)-($G62*'00-Parametros'!$C$12))</f>
        <v/>
      </c>
      <c r="L62" s="17">
        <f>IF(OR($A62="",$G62="",$G62=0),"",$K62/$G62)</f>
        <v/>
      </c>
    </row>
    <row r="63">
      <c r="A63" s="16" t="n"/>
      <c r="B63" s="5">
        <f>IF($A63="","",IFERROR(INDEX('01-Cadastro-Motos'!$B$4:$B$123,MATCH($A63,'01-Cadastro-Motos'!$A$4:$A$123,0)),""))</f>
        <v/>
      </c>
      <c r="C63" s="16" t="n"/>
      <c r="D63" s="23" t="n"/>
      <c r="E63" s="14">
        <f>IF($A63="","",IFERROR(INDEX('06-Precificacao'!$I$4:$I$123,MATCH($A63,'06-Precificacao'!$A$4:$A$123,0)),0))</f>
        <v/>
      </c>
      <c r="F63" s="14">
        <f>IF($A63="","",IFERROR(INDEX('06-Precificacao'!$K$4:$K$123,MATCH($A63,'06-Precificacao'!$A$4:$A$123,0)),0))</f>
        <v/>
      </c>
      <c r="G63" s="9" t="n"/>
      <c r="H63" s="14">
        <f>IF(OR($A63="",$G63=""),"",$E63-$G63)</f>
        <v/>
      </c>
      <c r="I63" s="17">
        <f>IF(OR($A63="",$G63="",$E63=0),"",$H63/$E63)</f>
        <v/>
      </c>
      <c r="J63" s="5">
        <f>IF(OR($A63="",$G63=""),"",IF($G63&lt;$F63,"SIM - abaixo do LP","Não"))</f>
        <v/>
      </c>
      <c r="K63" s="14">
        <f>IF(OR($A63="",$G63=""),"",$G63-(IFERROR(INDEX('06-Precificacao'!$G$4:$G$123,MATCH($A63,'06-Precificacao'!$A$4:$A$123,0)),0)-IFERROR(INDEX('06-Precificacao'!$E$4:$E$123,MATCH($A63,'06-Precificacao'!$A$4:$A$123,0)),0)+IFERROR(INDEX('05-Financeiro'!$E$4:$E$123,MATCH($A63,'05-Financeiro'!$A$4:$A$123,0)),0))-($G63*'00-Parametros'!$C$9)-($G63*'00-Parametros'!$C$10)-IFERROR(INDEX('03-Marketing'!$C$4:$C$123,MATCH($A63,'03-Marketing'!$A$4:$A$123,0)),0)-($G63*'00-Parametros'!$C$12))</f>
        <v/>
      </c>
      <c r="L63" s="17">
        <f>IF(OR($A63="",$G63="",$G63=0),"",$K63/$G63)</f>
        <v/>
      </c>
    </row>
    <row r="64">
      <c r="A64" s="16" t="n"/>
      <c r="B64" s="5">
        <f>IF($A64="","",IFERROR(INDEX('01-Cadastro-Motos'!$B$4:$B$123,MATCH($A64,'01-Cadastro-Motos'!$A$4:$A$123,0)),""))</f>
        <v/>
      </c>
      <c r="C64" s="16" t="n"/>
      <c r="D64" s="23" t="n"/>
      <c r="E64" s="14">
        <f>IF($A64="","",IFERROR(INDEX('06-Precificacao'!$I$4:$I$123,MATCH($A64,'06-Precificacao'!$A$4:$A$123,0)),0))</f>
        <v/>
      </c>
      <c r="F64" s="14">
        <f>IF($A64="","",IFERROR(INDEX('06-Precificacao'!$K$4:$K$123,MATCH($A64,'06-Precificacao'!$A$4:$A$123,0)),0))</f>
        <v/>
      </c>
      <c r="G64" s="9" t="n"/>
      <c r="H64" s="14">
        <f>IF(OR($A64="",$G64=""),"",$E64-$G64)</f>
        <v/>
      </c>
      <c r="I64" s="17">
        <f>IF(OR($A64="",$G64="",$E64=0),"",$H64/$E64)</f>
        <v/>
      </c>
      <c r="J64" s="5">
        <f>IF(OR($A64="",$G64=""),"",IF($G64&lt;$F64,"SIM - abaixo do LP","Não"))</f>
        <v/>
      </c>
      <c r="K64" s="14">
        <f>IF(OR($A64="",$G64=""),"",$G64-(IFERROR(INDEX('06-Precificacao'!$G$4:$G$123,MATCH($A64,'06-Precificacao'!$A$4:$A$123,0)),0)-IFERROR(INDEX('06-Precificacao'!$E$4:$E$123,MATCH($A64,'06-Precificacao'!$A$4:$A$123,0)),0)+IFERROR(INDEX('05-Financeiro'!$E$4:$E$123,MATCH($A64,'05-Financeiro'!$A$4:$A$123,0)),0))-($G64*'00-Parametros'!$C$9)-($G64*'00-Parametros'!$C$10)-IFERROR(INDEX('03-Marketing'!$C$4:$C$123,MATCH($A64,'03-Marketing'!$A$4:$A$123,0)),0)-($G64*'00-Parametros'!$C$12))</f>
        <v/>
      </c>
      <c r="L64" s="17">
        <f>IF(OR($A64="",$G64="",$G64=0),"",$K64/$G64)</f>
        <v/>
      </c>
    </row>
    <row r="65">
      <c r="A65" s="16" t="n"/>
      <c r="B65" s="5">
        <f>IF($A65="","",IFERROR(INDEX('01-Cadastro-Motos'!$B$4:$B$123,MATCH($A65,'01-Cadastro-Motos'!$A$4:$A$123,0)),""))</f>
        <v/>
      </c>
      <c r="C65" s="16" t="n"/>
      <c r="D65" s="23" t="n"/>
      <c r="E65" s="14">
        <f>IF($A65="","",IFERROR(INDEX('06-Precificacao'!$I$4:$I$123,MATCH($A65,'06-Precificacao'!$A$4:$A$123,0)),0))</f>
        <v/>
      </c>
      <c r="F65" s="14">
        <f>IF($A65="","",IFERROR(INDEX('06-Precificacao'!$K$4:$K$123,MATCH($A65,'06-Precificacao'!$A$4:$A$123,0)),0))</f>
        <v/>
      </c>
      <c r="G65" s="9" t="n"/>
      <c r="H65" s="14">
        <f>IF(OR($A65="",$G65=""),"",$E65-$G65)</f>
        <v/>
      </c>
      <c r="I65" s="17">
        <f>IF(OR($A65="",$G65="",$E65=0),"",$H65/$E65)</f>
        <v/>
      </c>
      <c r="J65" s="5">
        <f>IF(OR($A65="",$G65=""),"",IF($G65&lt;$F65,"SIM - abaixo do LP","Não"))</f>
        <v/>
      </c>
      <c r="K65" s="14">
        <f>IF(OR($A65="",$G65=""),"",$G65-(IFERROR(INDEX('06-Precificacao'!$G$4:$G$123,MATCH($A65,'06-Precificacao'!$A$4:$A$123,0)),0)-IFERROR(INDEX('06-Precificacao'!$E$4:$E$123,MATCH($A65,'06-Precificacao'!$A$4:$A$123,0)),0)+IFERROR(INDEX('05-Financeiro'!$E$4:$E$123,MATCH($A65,'05-Financeiro'!$A$4:$A$123,0)),0))-($G65*'00-Parametros'!$C$9)-($G65*'00-Parametros'!$C$10)-IFERROR(INDEX('03-Marketing'!$C$4:$C$123,MATCH($A65,'03-Marketing'!$A$4:$A$123,0)),0)-($G65*'00-Parametros'!$C$12))</f>
        <v/>
      </c>
      <c r="L65" s="17">
        <f>IF(OR($A65="",$G65="",$G65=0),"",$K65/$G65)</f>
        <v/>
      </c>
    </row>
    <row r="66">
      <c r="A66" s="16" t="n"/>
      <c r="B66" s="5">
        <f>IF($A66="","",IFERROR(INDEX('01-Cadastro-Motos'!$B$4:$B$123,MATCH($A66,'01-Cadastro-Motos'!$A$4:$A$123,0)),""))</f>
        <v/>
      </c>
      <c r="C66" s="16" t="n"/>
      <c r="D66" s="23" t="n"/>
      <c r="E66" s="14">
        <f>IF($A66="","",IFERROR(INDEX('06-Precificacao'!$I$4:$I$123,MATCH($A66,'06-Precificacao'!$A$4:$A$123,0)),0))</f>
        <v/>
      </c>
      <c r="F66" s="14">
        <f>IF($A66="","",IFERROR(INDEX('06-Precificacao'!$K$4:$K$123,MATCH($A66,'06-Precificacao'!$A$4:$A$123,0)),0))</f>
        <v/>
      </c>
      <c r="G66" s="9" t="n"/>
      <c r="H66" s="14">
        <f>IF(OR($A66="",$G66=""),"",$E66-$G66)</f>
        <v/>
      </c>
      <c r="I66" s="17">
        <f>IF(OR($A66="",$G66="",$E66=0),"",$H66/$E66)</f>
        <v/>
      </c>
      <c r="J66" s="5">
        <f>IF(OR($A66="",$G66=""),"",IF($G66&lt;$F66,"SIM - abaixo do LP","Não"))</f>
        <v/>
      </c>
      <c r="K66" s="14">
        <f>IF(OR($A66="",$G66=""),"",$G66-(IFERROR(INDEX('06-Precificacao'!$G$4:$G$123,MATCH($A66,'06-Precificacao'!$A$4:$A$123,0)),0)-IFERROR(INDEX('06-Precificacao'!$E$4:$E$123,MATCH($A66,'06-Precificacao'!$A$4:$A$123,0)),0)+IFERROR(INDEX('05-Financeiro'!$E$4:$E$123,MATCH($A66,'05-Financeiro'!$A$4:$A$123,0)),0))-($G66*'00-Parametros'!$C$9)-($G66*'00-Parametros'!$C$10)-IFERROR(INDEX('03-Marketing'!$C$4:$C$123,MATCH($A66,'03-Marketing'!$A$4:$A$123,0)),0)-($G66*'00-Parametros'!$C$12))</f>
        <v/>
      </c>
      <c r="L66" s="17">
        <f>IF(OR($A66="",$G66="",$G66=0),"",$K66/$G66)</f>
        <v/>
      </c>
    </row>
    <row r="67">
      <c r="A67" s="16" t="n"/>
      <c r="B67" s="5">
        <f>IF($A67="","",IFERROR(INDEX('01-Cadastro-Motos'!$B$4:$B$123,MATCH($A67,'01-Cadastro-Motos'!$A$4:$A$123,0)),""))</f>
        <v/>
      </c>
      <c r="C67" s="16" t="n"/>
      <c r="D67" s="23" t="n"/>
      <c r="E67" s="14">
        <f>IF($A67="","",IFERROR(INDEX('06-Precificacao'!$I$4:$I$123,MATCH($A67,'06-Precificacao'!$A$4:$A$123,0)),0))</f>
        <v/>
      </c>
      <c r="F67" s="14">
        <f>IF($A67="","",IFERROR(INDEX('06-Precificacao'!$K$4:$K$123,MATCH($A67,'06-Precificacao'!$A$4:$A$123,0)),0))</f>
        <v/>
      </c>
      <c r="G67" s="9" t="n"/>
      <c r="H67" s="14">
        <f>IF(OR($A67="",$G67=""),"",$E67-$G67)</f>
        <v/>
      </c>
      <c r="I67" s="17">
        <f>IF(OR($A67="",$G67="",$E67=0),"",$H67/$E67)</f>
        <v/>
      </c>
      <c r="J67" s="5">
        <f>IF(OR($A67="",$G67=""),"",IF($G67&lt;$F67,"SIM - abaixo do LP","Não"))</f>
        <v/>
      </c>
      <c r="K67" s="14">
        <f>IF(OR($A67="",$G67=""),"",$G67-(IFERROR(INDEX('06-Precificacao'!$G$4:$G$123,MATCH($A67,'06-Precificacao'!$A$4:$A$123,0)),0)-IFERROR(INDEX('06-Precificacao'!$E$4:$E$123,MATCH($A67,'06-Precificacao'!$A$4:$A$123,0)),0)+IFERROR(INDEX('05-Financeiro'!$E$4:$E$123,MATCH($A67,'05-Financeiro'!$A$4:$A$123,0)),0))-($G67*'00-Parametros'!$C$9)-($G67*'00-Parametros'!$C$10)-IFERROR(INDEX('03-Marketing'!$C$4:$C$123,MATCH($A67,'03-Marketing'!$A$4:$A$123,0)),0)-($G67*'00-Parametros'!$C$12))</f>
        <v/>
      </c>
      <c r="L67" s="17">
        <f>IF(OR($A67="",$G67="",$G67=0),"",$K67/$G67)</f>
        <v/>
      </c>
    </row>
    <row r="68">
      <c r="A68" s="16" t="n"/>
      <c r="B68" s="5">
        <f>IF($A68="","",IFERROR(INDEX('01-Cadastro-Motos'!$B$4:$B$123,MATCH($A68,'01-Cadastro-Motos'!$A$4:$A$123,0)),""))</f>
        <v/>
      </c>
      <c r="C68" s="16" t="n"/>
      <c r="D68" s="23" t="n"/>
      <c r="E68" s="14">
        <f>IF($A68="","",IFERROR(INDEX('06-Precificacao'!$I$4:$I$123,MATCH($A68,'06-Precificacao'!$A$4:$A$123,0)),0))</f>
        <v/>
      </c>
      <c r="F68" s="14">
        <f>IF($A68="","",IFERROR(INDEX('06-Precificacao'!$K$4:$K$123,MATCH($A68,'06-Precificacao'!$A$4:$A$123,0)),0))</f>
        <v/>
      </c>
      <c r="G68" s="9" t="n"/>
      <c r="H68" s="14">
        <f>IF(OR($A68="",$G68=""),"",$E68-$G68)</f>
        <v/>
      </c>
      <c r="I68" s="17">
        <f>IF(OR($A68="",$G68="",$E68=0),"",$H68/$E68)</f>
        <v/>
      </c>
      <c r="J68" s="5">
        <f>IF(OR($A68="",$G68=""),"",IF($G68&lt;$F68,"SIM - abaixo do LP","Não"))</f>
        <v/>
      </c>
      <c r="K68" s="14">
        <f>IF(OR($A68="",$G68=""),"",$G68-(IFERROR(INDEX('06-Precificacao'!$G$4:$G$123,MATCH($A68,'06-Precificacao'!$A$4:$A$123,0)),0)-IFERROR(INDEX('06-Precificacao'!$E$4:$E$123,MATCH($A68,'06-Precificacao'!$A$4:$A$123,0)),0)+IFERROR(INDEX('05-Financeiro'!$E$4:$E$123,MATCH($A68,'05-Financeiro'!$A$4:$A$123,0)),0))-($G68*'00-Parametros'!$C$9)-($G68*'00-Parametros'!$C$10)-IFERROR(INDEX('03-Marketing'!$C$4:$C$123,MATCH($A68,'03-Marketing'!$A$4:$A$123,0)),0)-($G68*'00-Parametros'!$C$12))</f>
        <v/>
      </c>
      <c r="L68" s="17">
        <f>IF(OR($A68="",$G68="",$G68=0),"",$K68/$G68)</f>
        <v/>
      </c>
    </row>
    <row r="69">
      <c r="A69" s="16" t="n"/>
      <c r="B69" s="5">
        <f>IF($A69="","",IFERROR(INDEX('01-Cadastro-Motos'!$B$4:$B$123,MATCH($A69,'01-Cadastro-Motos'!$A$4:$A$123,0)),""))</f>
        <v/>
      </c>
      <c r="C69" s="16" t="n"/>
      <c r="D69" s="23" t="n"/>
      <c r="E69" s="14">
        <f>IF($A69="","",IFERROR(INDEX('06-Precificacao'!$I$4:$I$123,MATCH($A69,'06-Precificacao'!$A$4:$A$123,0)),0))</f>
        <v/>
      </c>
      <c r="F69" s="14">
        <f>IF($A69="","",IFERROR(INDEX('06-Precificacao'!$K$4:$K$123,MATCH($A69,'06-Precificacao'!$A$4:$A$123,0)),0))</f>
        <v/>
      </c>
      <c r="G69" s="9" t="n"/>
      <c r="H69" s="14">
        <f>IF(OR($A69="",$G69=""),"",$E69-$G69)</f>
        <v/>
      </c>
      <c r="I69" s="17">
        <f>IF(OR($A69="",$G69="",$E69=0),"",$H69/$E69)</f>
        <v/>
      </c>
      <c r="J69" s="5">
        <f>IF(OR($A69="",$G69=""),"",IF($G69&lt;$F69,"SIM - abaixo do LP","Não"))</f>
        <v/>
      </c>
      <c r="K69" s="14">
        <f>IF(OR($A69="",$G69=""),"",$G69-(IFERROR(INDEX('06-Precificacao'!$G$4:$G$123,MATCH($A69,'06-Precificacao'!$A$4:$A$123,0)),0)-IFERROR(INDEX('06-Precificacao'!$E$4:$E$123,MATCH($A69,'06-Precificacao'!$A$4:$A$123,0)),0)+IFERROR(INDEX('05-Financeiro'!$E$4:$E$123,MATCH($A69,'05-Financeiro'!$A$4:$A$123,0)),0))-($G69*'00-Parametros'!$C$9)-($G69*'00-Parametros'!$C$10)-IFERROR(INDEX('03-Marketing'!$C$4:$C$123,MATCH($A69,'03-Marketing'!$A$4:$A$123,0)),0)-($G69*'00-Parametros'!$C$12))</f>
        <v/>
      </c>
      <c r="L69" s="17">
        <f>IF(OR($A69="",$G69="",$G69=0),"",$K69/$G69)</f>
        <v/>
      </c>
    </row>
    <row r="70">
      <c r="A70" s="16" t="n"/>
      <c r="B70" s="5">
        <f>IF($A70="","",IFERROR(INDEX('01-Cadastro-Motos'!$B$4:$B$123,MATCH($A70,'01-Cadastro-Motos'!$A$4:$A$123,0)),""))</f>
        <v/>
      </c>
      <c r="C70" s="16" t="n"/>
      <c r="D70" s="23" t="n"/>
      <c r="E70" s="14">
        <f>IF($A70="","",IFERROR(INDEX('06-Precificacao'!$I$4:$I$123,MATCH($A70,'06-Precificacao'!$A$4:$A$123,0)),0))</f>
        <v/>
      </c>
      <c r="F70" s="14">
        <f>IF($A70="","",IFERROR(INDEX('06-Precificacao'!$K$4:$K$123,MATCH($A70,'06-Precificacao'!$A$4:$A$123,0)),0))</f>
        <v/>
      </c>
      <c r="G70" s="9" t="n"/>
      <c r="H70" s="14">
        <f>IF(OR($A70="",$G70=""),"",$E70-$G70)</f>
        <v/>
      </c>
      <c r="I70" s="17">
        <f>IF(OR($A70="",$G70="",$E70=0),"",$H70/$E70)</f>
        <v/>
      </c>
      <c r="J70" s="5">
        <f>IF(OR($A70="",$G70=""),"",IF($G70&lt;$F70,"SIM - abaixo do LP","Não"))</f>
        <v/>
      </c>
      <c r="K70" s="14">
        <f>IF(OR($A70="",$G70=""),"",$G70-(IFERROR(INDEX('06-Precificacao'!$G$4:$G$123,MATCH($A70,'06-Precificacao'!$A$4:$A$123,0)),0)-IFERROR(INDEX('06-Precificacao'!$E$4:$E$123,MATCH($A70,'06-Precificacao'!$A$4:$A$123,0)),0)+IFERROR(INDEX('05-Financeiro'!$E$4:$E$123,MATCH($A70,'05-Financeiro'!$A$4:$A$123,0)),0))-($G70*'00-Parametros'!$C$9)-($G70*'00-Parametros'!$C$10)-IFERROR(INDEX('03-Marketing'!$C$4:$C$123,MATCH($A70,'03-Marketing'!$A$4:$A$123,0)),0)-($G70*'00-Parametros'!$C$12))</f>
        <v/>
      </c>
      <c r="L70" s="17">
        <f>IF(OR($A70="",$G70="",$G70=0),"",$K70/$G70)</f>
        <v/>
      </c>
    </row>
    <row r="71">
      <c r="A71" s="16" t="n"/>
      <c r="B71" s="5">
        <f>IF($A71="","",IFERROR(INDEX('01-Cadastro-Motos'!$B$4:$B$123,MATCH($A71,'01-Cadastro-Motos'!$A$4:$A$123,0)),""))</f>
        <v/>
      </c>
      <c r="C71" s="16" t="n"/>
      <c r="D71" s="23" t="n"/>
      <c r="E71" s="14">
        <f>IF($A71="","",IFERROR(INDEX('06-Precificacao'!$I$4:$I$123,MATCH($A71,'06-Precificacao'!$A$4:$A$123,0)),0))</f>
        <v/>
      </c>
      <c r="F71" s="14">
        <f>IF($A71="","",IFERROR(INDEX('06-Precificacao'!$K$4:$K$123,MATCH($A71,'06-Precificacao'!$A$4:$A$123,0)),0))</f>
        <v/>
      </c>
      <c r="G71" s="9" t="n"/>
      <c r="H71" s="14">
        <f>IF(OR($A71="",$G71=""),"",$E71-$G71)</f>
        <v/>
      </c>
      <c r="I71" s="17">
        <f>IF(OR($A71="",$G71="",$E71=0),"",$H71/$E71)</f>
        <v/>
      </c>
      <c r="J71" s="5">
        <f>IF(OR($A71="",$G71=""),"",IF($G71&lt;$F71,"SIM - abaixo do LP","Não"))</f>
        <v/>
      </c>
      <c r="K71" s="14">
        <f>IF(OR($A71="",$G71=""),"",$G71-(IFERROR(INDEX('06-Precificacao'!$G$4:$G$123,MATCH($A71,'06-Precificacao'!$A$4:$A$123,0)),0)-IFERROR(INDEX('06-Precificacao'!$E$4:$E$123,MATCH($A71,'06-Precificacao'!$A$4:$A$123,0)),0)+IFERROR(INDEX('05-Financeiro'!$E$4:$E$123,MATCH($A71,'05-Financeiro'!$A$4:$A$123,0)),0))-($G71*'00-Parametros'!$C$9)-($G71*'00-Parametros'!$C$10)-IFERROR(INDEX('03-Marketing'!$C$4:$C$123,MATCH($A71,'03-Marketing'!$A$4:$A$123,0)),0)-($G71*'00-Parametros'!$C$12))</f>
        <v/>
      </c>
      <c r="L71" s="17">
        <f>IF(OR($A71="",$G71="",$G71=0),"",$K71/$G71)</f>
        <v/>
      </c>
    </row>
    <row r="72">
      <c r="A72" s="16" t="n"/>
      <c r="B72" s="5">
        <f>IF($A72="","",IFERROR(INDEX('01-Cadastro-Motos'!$B$4:$B$123,MATCH($A72,'01-Cadastro-Motos'!$A$4:$A$123,0)),""))</f>
        <v/>
      </c>
      <c r="C72" s="16" t="n"/>
      <c r="D72" s="23" t="n"/>
      <c r="E72" s="14">
        <f>IF($A72="","",IFERROR(INDEX('06-Precificacao'!$I$4:$I$123,MATCH($A72,'06-Precificacao'!$A$4:$A$123,0)),0))</f>
        <v/>
      </c>
      <c r="F72" s="14">
        <f>IF($A72="","",IFERROR(INDEX('06-Precificacao'!$K$4:$K$123,MATCH($A72,'06-Precificacao'!$A$4:$A$123,0)),0))</f>
        <v/>
      </c>
      <c r="G72" s="9" t="n"/>
      <c r="H72" s="14">
        <f>IF(OR($A72="",$G72=""),"",$E72-$G72)</f>
        <v/>
      </c>
      <c r="I72" s="17">
        <f>IF(OR($A72="",$G72="",$E72=0),"",$H72/$E72)</f>
        <v/>
      </c>
      <c r="J72" s="5">
        <f>IF(OR($A72="",$G72=""),"",IF($G72&lt;$F72,"SIM - abaixo do LP","Não"))</f>
        <v/>
      </c>
      <c r="K72" s="14">
        <f>IF(OR($A72="",$G72=""),"",$G72-(IFERROR(INDEX('06-Precificacao'!$G$4:$G$123,MATCH($A72,'06-Precificacao'!$A$4:$A$123,0)),0)-IFERROR(INDEX('06-Precificacao'!$E$4:$E$123,MATCH($A72,'06-Precificacao'!$A$4:$A$123,0)),0)+IFERROR(INDEX('05-Financeiro'!$E$4:$E$123,MATCH($A72,'05-Financeiro'!$A$4:$A$123,0)),0))-($G72*'00-Parametros'!$C$9)-($G72*'00-Parametros'!$C$10)-IFERROR(INDEX('03-Marketing'!$C$4:$C$123,MATCH($A72,'03-Marketing'!$A$4:$A$123,0)),0)-($G72*'00-Parametros'!$C$12))</f>
        <v/>
      </c>
      <c r="L72" s="17">
        <f>IF(OR($A72="",$G72="",$G72=0),"",$K72/$G72)</f>
        <v/>
      </c>
    </row>
    <row r="73">
      <c r="A73" s="16" t="n"/>
      <c r="B73" s="5">
        <f>IF($A73="","",IFERROR(INDEX('01-Cadastro-Motos'!$B$4:$B$123,MATCH($A73,'01-Cadastro-Motos'!$A$4:$A$123,0)),""))</f>
        <v/>
      </c>
      <c r="C73" s="16" t="n"/>
      <c r="D73" s="23" t="n"/>
      <c r="E73" s="14">
        <f>IF($A73="","",IFERROR(INDEX('06-Precificacao'!$I$4:$I$123,MATCH($A73,'06-Precificacao'!$A$4:$A$123,0)),0))</f>
        <v/>
      </c>
      <c r="F73" s="14">
        <f>IF($A73="","",IFERROR(INDEX('06-Precificacao'!$K$4:$K$123,MATCH($A73,'06-Precificacao'!$A$4:$A$123,0)),0))</f>
        <v/>
      </c>
      <c r="G73" s="9" t="n"/>
      <c r="H73" s="14">
        <f>IF(OR($A73="",$G73=""),"",$E73-$G73)</f>
        <v/>
      </c>
      <c r="I73" s="17">
        <f>IF(OR($A73="",$G73="",$E73=0),"",$H73/$E73)</f>
        <v/>
      </c>
      <c r="J73" s="5">
        <f>IF(OR($A73="",$G73=""),"",IF($G73&lt;$F73,"SIM - abaixo do LP","Não"))</f>
        <v/>
      </c>
      <c r="K73" s="14">
        <f>IF(OR($A73="",$G73=""),"",$G73-(IFERROR(INDEX('06-Precificacao'!$G$4:$G$123,MATCH($A73,'06-Precificacao'!$A$4:$A$123,0)),0)-IFERROR(INDEX('06-Precificacao'!$E$4:$E$123,MATCH($A73,'06-Precificacao'!$A$4:$A$123,0)),0)+IFERROR(INDEX('05-Financeiro'!$E$4:$E$123,MATCH($A73,'05-Financeiro'!$A$4:$A$123,0)),0))-($G73*'00-Parametros'!$C$9)-($G73*'00-Parametros'!$C$10)-IFERROR(INDEX('03-Marketing'!$C$4:$C$123,MATCH($A73,'03-Marketing'!$A$4:$A$123,0)),0)-($G73*'00-Parametros'!$C$12))</f>
        <v/>
      </c>
      <c r="L73" s="17">
        <f>IF(OR($A73="",$G73="",$G73=0),"",$K73/$G73)</f>
        <v/>
      </c>
    </row>
    <row r="74">
      <c r="A74" s="16" t="n"/>
      <c r="B74" s="5">
        <f>IF($A74="","",IFERROR(INDEX('01-Cadastro-Motos'!$B$4:$B$123,MATCH($A74,'01-Cadastro-Motos'!$A$4:$A$123,0)),""))</f>
        <v/>
      </c>
      <c r="C74" s="16" t="n"/>
      <c r="D74" s="23" t="n"/>
      <c r="E74" s="14">
        <f>IF($A74="","",IFERROR(INDEX('06-Precificacao'!$I$4:$I$123,MATCH($A74,'06-Precificacao'!$A$4:$A$123,0)),0))</f>
        <v/>
      </c>
      <c r="F74" s="14">
        <f>IF($A74="","",IFERROR(INDEX('06-Precificacao'!$K$4:$K$123,MATCH($A74,'06-Precificacao'!$A$4:$A$123,0)),0))</f>
        <v/>
      </c>
      <c r="G74" s="9" t="n"/>
      <c r="H74" s="14">
        <f>IF(OR($A74="",$G74=""),"",$E74-$G74)</f>
        <v/>
      </c>
      <c r="I74" s="17">
        <f>IF(OR($A74="",$G74="",$E74=0),"",$H74/$E74)</f>
        <v/>
      </c>
      <c r="J74" s="5">
        <f>IF(OR($A74="",$G74=""),"",IF($G74&lt;$F74,"SIM - abaixo do LP","Não"))</f>
        <v/>
      </c>
      <c r="K74" s="14">
        <f>IF(OR($A74="",$G74=""),"",$G74-(IFERROR(INDEX('06-Precificacao'!$G$4:$G$123,MATCH($A74,'06-Precificacao'!$A$4:$A$123,0)),0)-IFERROR(INDEX('06-Precificacao'!$E$4:$E$123,MATCH($A74,'06-Precificacao'!$A$4:$A$123,0)),0)+IFERROR(INDEX('05-Financeiro'!$E$4:$E$123,MATCH($A74,'05-Financeiro'!$A$4:$A$123,0)),0))-($G74*'00-Parametros'!$C$9)-($G74*'00-Parametros'!$C$10)-IFERROR(INDEX('03-Marketing'!$C$4:$C$123,MATCH($A74,'03-Marketing'!$A$4:$A$123,0)),0)-($G74*'00-Parametros'!$C$12))</f>
        <v/>
      </c>
      <c r="L74" s="17">
        <f>IF(OR($A74="",$G74="",$G74=0),"",$K74/$G74)</f>
        <v/>
      </c>
    </row>
    <row r="75">
      <c r="A75" s="16" t="n"/>
      <c r="B75" s="5">
        <f>IF($A75="","",IFERROR(INDEX('01-Cadastro-Motos'!$B$4:$B$123,MATCH($A75,'01-Cadastro-Motos'!$A$4:$A$123,0)),""))</f>
        <v/>
      </c>
      <c r="C75" s="16" t="n"/>
      <c r="D75" s="23" t="n"/>
      <c r="E75" s="14">
        <f>IF($A75="","",IFERROR(INDEX('06-Precificacao'!$I$4:$I$123,MATCH($A75,'06-Precificacao'!$A$4:$A$123,0)),0))</f>
        <v/>
      </c>
      <c r="F75" s="14">
        <f>IF($A75="","",IFERROR(INDEX('06-Precificacao'!$K$4:$K$123,MATCH($A75,'06-Precificacao'!$A$4:$A$123,0)),0))</f>
        <v/>
      </c>
      <c r="G75" s="9" t="n"/>
      <c r="H75" s="14">
        <f>IF(OR($A75="",$G75=""),"",$E75-$G75)</f>
        <v/>
      </c>
      <c r="I75" s="17">
        <f>IF(OR($A75="",$G75="",$E75=0),"",$H75/$E75)</f>
        <v/>
      </c>
      <c r="J75" s="5">
        <f>IF(OR($A75="",$G75=""),"",IF($G75&lt;$F75,"SIM - abaixo do LP","Não"))</f>
        <v/>
      </c>
      <c r="K75" s="14">
        <f>IF(OR($A75="",$G75=""),"",$G75-(IFERROR(INDEX('06-Precificacao'!$G$4:$G$123,MATCH($A75,'06-Precificacao'!$A$4:$A$123,0)),0)-IFERROR(INDEX('06-Precificacao'!$E$4:$E$123,MATCH($A75,'06-Precificacao'!$A$4:$A$123,0)),0)+IFERROR(INDEX('05-Financeiro'!$E$4:$E$123,MATCH($A75,'05-Financeiro'!$A$4:$A$123,0)),0))-($G75*'00-Parametros'!$C$9)-($G75*'00-Parametros'!$C$10)-IFERROR(INDEX('03-Marketing'!$C$4:$C$123,MATCH($A75,'03-Marketing'!$A$4:$A$123,0)),0)-($G75*'00-Parametros'!$C$12))</f>
        <v/>
      </c>
      <c r="L75" s="17">
        <f>IF(OR($A75="",$G75="",$G75=0),"",$K75/$G75)</f>
        <v/>
      </c>
    </row>
    <row r="76">
      <c r="A76" s="16" t="n"/>
      <c r="B76" s="5">
        <f>IF($A76="","",IFERROR(INDEX('01-Cadastro-Motos'!$B$4:$B$123,MATCH($A76,'01-Cadastro-Motos'!$A$4:$A$123,0)),""))</f>
        <v/>
      </c>
      <c r="C76" s="16" t="n"/>
      <c r="D76" s="23" t="n"/>
      <c r="E76" s="14">
        <f>IF($A76="","",IFERROR(INDEX('06-Precificacao'!$I$4:$I$123,MATCH($A76,'06-Precificacao'!$A$4:$A$123,0)),0))</f>
        <v/>
      </c>
      <c r="F76" s="14">
        <f>IF($A76="","",IFERROR(INDEX('06-Precificacao'!$K$4:$K$123,MATCH($A76,'06-Precificacao'!$A$4:$A$123,0)),0))</f>
        <v/>
      </c>
      <c r="G76" s="9" t="n"/>
      <c r="H76" s="14">
        <f>IF(OR($A76="",$G76=""),"",$E76-$G76)</f>
        <v/>
      </c>
      <c r="I76" s="17">
        <f>IF(OR($A76="",$G76="",$E76=0),"",$H76/$E76)</f>
        <v/>
      </c>
      <c r="J76" s="5">
        <f>IF(OR($A76="",$G76=""),"",IF($G76&lt;$F76,"SIM - abaixo do LP","Não"))</f>
        <v/>
      </c>
      <c r="K76" s="14">
        <f>IF(OR($A76="",$G76=""),"",$G76-(IFERROR(INDEX('06-Precificacao'!$G$4:$G$123,MATCH($A76,'06-Precificacao'!$A$4:$A$123,0)),0)-IFERROR(INDEX('06-Precificacao'!$E$4:$E$123,MATCH($A76,'06-Precificacao'!$A$4:$A$123,0)),0)+IFERROR(INDEX('05-Financeiro'!$E$4:$E$123,MATCH($A76,'05-Financeiro'!$A$4:$A$123,0)),0))-($G76*'00-Parametros'!$C$9)-($G76*'00-Parametros'!$C$10)-IFERROR(INDEX('03-Marketing'!$C$4:$C$123,MATCH($A76,'03-Marketing'!$A$4:$A$123,0)),0)-($G76*'00-Parametros'!$C$12))</f>
        <v/>
      </c>
      <c r="L76" s="17">
        <f>IF(OR($A76="",$G76="",$G76=0),"",$K76/$G76)</f>
        <v/>
      </c>
    </row>
    <row r="77">
      <c r="A77" s="16" t="n"/>
      <c r="B77" s="5">
        <f>IF($A77="","",IFERROR(INDEX('01-Cadastro-Motos'!$B$4:$B$123,MATCH($A77,'01-Cadastro-Motos'!$A$4:$A$123,0)),""))</f>
        <v/>
      </c>
      <c r="C77" s="16" t="n"/>
      <c r="D77" s="23" t="n"/>
      <c r="E77" s="14">
        <f>IF($A77="","",IFERROR(INDEX('06-Precificacao'!$I$4:$I$123,MATCH($A77,'06-Precificacao'!$A$4:$A$123,0)),0))</f>
        <v/>
      </c>
      <c r="F77" s="14">
        <f>IF($A77="","",IFERROR(INDEX('06-Precificacao'!$K$4:$K$123,MATCH($A77,'06-Precificacao'!$A$4:$A$123,0)),0))</f>
        <v/>
      </c>
      <c r="G77" s="9" t="n"/>
      <c r="H77" s="14">
        <f>IF(OR($A77="",$G77=""),"",$E77-$G77)</f>
        <v/>
      </c>
      <c r="I77" s="17">
        <f>IF(OR($A77="",$G77="",$E77=0),"",$H77/$E77)</f>
        <v/>
      </c>
      <c r="J77" s="5">
        <f>IF(OR($A77="",$G77=""),"",IF($G77&lt;$F77,"SIM - abaixo do LP","Não"))</f>
        <v/>
      </c>
      <c r="K77" s="14">
        <f>IF(OR($A77="",$G77=""),"",$G77-(IFERROR(INDEX('06-Precificacao'!$G$4:$G$123,MATCH($A77,'06-Precificacao'!$A$4:$A$123,0)),0)-IFERROR(INDEX('06-Precificacao'!$E$4:$E$123,MATCH($A77,'06-Precificacao'!$A$4:$A$123,0)),0)+IFERROR(INDEX('05-Financeiro'!$E$4:$E$123,MATCH($A77,'05-Financeiro'!$A$4:$A$123,0)),0))-($G77*'00-Parametros'!$C$9)-($G77*'00-Parametros'!$C$10)-IFERROR(INDEX('03-Marketing'!$C$4:$C$123,MATCH($A77,'03-Marketing'!$A$4:$A$123,0)),0)-($G77*'00-Parametros'!$C$12))</f>
        <v/>
      </c>
      <c r="L77" s="17">
        <f>IF(OR($A77="",$G77="",$G77=0),"",$K77/$G77)</f>
        <v/>
      </c>
    </row>
    <row r="78">
      <c r="A78" s="16" t="n"/>
      <c r="B78" s="5">
        <f>IF($A78="","",IFERROR(INDEX('01-Cadastro-Motos'!$B$4:$B$123,MATCH($A78,'01-Cadastro-Motos'!$A$4:$A$123,0)),""))</f>
        <v/>
      </c>
      <c r="C78" s="16" t="n"/>
      <c r="D78" s="23" t="n"/>
      <c r="E78" s="14">
        <f>IF($A78="","",IFERROR(INDEX('06-Precificacao'!$I$4:$I$123,MATCH($A78,'06-Precificacao'!$A$4:$A$123,0)),0))</f>
        <v/>
      </c>
      <c r="F78" s="14">
        <f>IF($A78="","",IFERROR(INDEX('06-Precificacao'!$K$4:$K$123,MATCH($A78,'06-Precificacao'!$A$4:$A$123,0)),0))</f>
        <v/>
      </c>
      <c r="G78" s="9" t="n"/>
      <c r="H78" s="14">
        <f>IF(OR($A78="",$G78=""),"",$E78-$G78)</f>
        <v/>
      </c>
      <c r="I78" s="17">
        <f>IF(OR($A78="",$G78="",$E78=0),"",$H78/$E78)</f>
        <v/>
      </c>
      <c r="J78" s="5">
        <f>IF(OR($A78="",$G78=""),"",IF($G78&lt;$F78,"SIM - abaixo do LP","Não"))</f>
        <v/>
      </c>
      <c r="K78" s="14">
        <f>IF(OR($A78="",$G78=""),"",$G78-(IFERROR(INDEX('06-Precificacao'!$G$4:$G$123,MATCH($A78,'06-Precificacao'!$A$4:$A$123,0)),0)-IFERROR(INDEX('06-Precificacao'!$E$4:$E$123,MATCH($A78,'06-Precificacao'!$A$4:$A$123,0)),0)+IFERROR(INDEX('05-Financeiro'!$E$4:$E$123,MATCH($A78,'05-Financeiro'!$A$4:$A$123,0)),0))-($G78*'00-Parametros'!$C$9)-($G78*'00-Parametros'!$C$10)-IFERROR(INDEX('03-Marketing'!$C$4:$C$123,MATCH($A78,'03-Marketing'!$A$4:$A$123,0)),0)-($G78*'00-Parametros'!$C$12))</f>
        <v/>
      </c>
      <c r="L78" s="17">
        <f>IF(OR($A78="",$G78="",$G78=0),"",$K78/$G78)</f>
        <v/>
      </c>
    </row>
    <row r="79">
      <c r="A79" s="16" t="n"/>
      <c r="B79" s="5">
        <f>IF($A79="","",IFERROR(INDEX('01-Cadastro-Motos'!$B$4:$B$123,MATCH($A79,'01-Cadastro-Motos'!$A$4:$A$123,0)),""))</f>
        <v/>
      </c>
      <c r="C79" s="16" t="n"/>
      <c r="D79" s="23" t="n"/>
      <c r="E79" s="14">
        <f>IF($A79="","",IFERROR(INDEX('06-Precificacao'!$I$4:$I$123,MATCH($A79,'06-Precificacao'!$A$4:$A$123,0)),0))</f>
        <v/>
      </c>
      <c r="F79" s="14">
        <f>IF($A79="","",IFERROR(INDEX('06-Precificacao'!$K$4:$K$123,MATCH($A79,'06-Precificacao'!$A$4:$A$123,0)),0))</f>
        <v/>
      </c>
      <c r="G79" s="9" t="n"/>
      <c r="H79" s="14">
        <f>IF(OR($A79="",$G79=""),"",$E79-$G79)</f>
        <v/>
      </c>
      <c r="I79" s="17">
        <f>IF(OR($A79="",$G79="",$E79=0),"",$H79/$E79)</f>
        <v/>
      </c>
      <c r="J79" s="5">
        <f>IF(OR($A79="",$G79=""),"",IF($G79&lt;$F79,"SIM - abaixo do LP","Não"))</f>
        <v/>
      </c>
      <c r="K79" s="14">
        <f>IF(OR($A79="",$G79=""),"",$G79-(IFERROR(INDEX('06-Precificacao'!$G$4:$G$123,MATCH($A79,'06-Precificacao'!$A$4:$A$123,0)),0)-IFERROR(INDEX('06-Precificacao'!$E$4:$E$123,MATCH($A79,'06-Precificacao'!$A$4:$A$123,0)),0)+IFERROR(INDEX('05-Financeiro'!$E$4:$E$123,MATCH($A79,'05-Financeiro'!$A$4:$A$123,0)),0))-($G79*'00-Parametros'!$C$9)-($G79*'00-Parametros'!$C$10)-IFERROR(INDEX('03-Marketing'!$C$4:$C$123,MATCH($A79,'03-Marketing'!$A$4:$A$123,0)),0)-($G79*'00-Parametros'!$C$12))</f>
        <v/>
      </c>
      <c r="L79" s="17">
        <f>IF(OR($A79="",$G79="",$G79=0),"",$K79/$G79)</f>
        <v/>
      </c>
    </row>
    <row r="80">
      <c r="A80" s="16" t="n"/>
      <c r="B80" s="5">
        <f>IF($A80="","",IFERROR(INDEX('01-Cadastro-Motos'!$B$4:$B$123,MATCH($A80,'01-Cadastro-Motos'!$A$4:$A$123,0)),""))</f>
        <v/>
      </c>
      <c r="C80" s="16" t="n"/>
      <c r="D80" s="23" t="n"/>
      <c r="E80" s="14">
        <f>IF($A80="","",IFERROR(INDEX('06-Precificacao'!$I$4:$I$123,MATCH($A80,'06-Precificacao'!$A$4:$A$123,0)),0))</f>
        <v/>
      </c>
      <c r="F80" s="14">
        <f>IF($A80="","",IFERROR(INDEX('06-Precificacao'!$K$4:$K$123,MATCH($A80,'06-Precificacao'!$A$4:$A$123,0)),0))</f>
        <v/>
      </c>
      <c r="G80" s="9" t="n"/>
      <c r="H80" s="14">
        <f>IF(OR($A80="",$G80=""),"",$E80-$G80)</f>
        <v/>
      </c>
      <c r="I80" s="17">
        <f>IF(OR($A80="",$G80="",$E80=0),"",$H80/$E80)</f>
        <v/>
      </c>
      <c r="J80" s="5">
        <f>IF(OR($A80="",$G80=""),"",IF($G80&lt;$F80,"SIM - abaixo do LP","Não"))</f>
        <v/>
      </c>
      <c r="K80" s="14">
        <f>IF(OR($A80="",$G80=""),"",$G80-(IFERROR(INDEX('06-Precificacao'!$G$4:$G$123,MATCH($A80,'06-Precificacao'!$A$4:$A$123,0)),0)-IFERROR(INDEX('06-Precificacao'!$E$4:$E$123,MATCH($A80,'06-Precificacao'!$A$4:$A$123,0)),0)+IFERROR(INDEX('05-Financeiro'!$E$4:$E$123,MATCH($A80,'05-Financeiro'!$A$4:$A$123,0)),0))-($G80*'00-Parametros'!$C$9)-($G80*'00-Parametros'!$C$10)-IFERROR(INDEX('03-Marketing'!$C$4:$C$123,MATCH($A80,'03-Marketing'!$A$4:$A$123,0)),0)-($G80*'00-Parametros'!$C$12))</f>
        <v/>
      </c>
      <c r="L80" s="17">
        <f>IF(OR($A80="",$G80="",$G80=0),"",$K80/$G80)</f>
        <v/>
      </c>
    </row>
    <row r="81">
      <c r="A81" s="16" t="n"/>
      <c r="B81" s="5">
        <f>IF($A81="","",IFERROR(INDEX('01-Cadastro-Motos'!$B$4:$B$123,MATCH($A81,'01-Cadastro-Motos'!$A$4:$A$123,0)),""))</f>
        <v/>
      </c>
      <c r="C81" s="16" t="n"/>
      <c r="D81" s="23" t="n"/>
      <c r="E81" s="14">
        <f>IF($A81="","",IFERROR(INDEX('06-Precificacao'!$I$4:$I$123,MATCH($A81,'06-Precificacao'!$A$4:$A$123,0)),0))</f>
        <v/>
      </c>
      <c r="F81" s="14">
        <f>IF($A81="","",IFERROR(INDEX('06-Precificacao'!$K$4:$K$123,MATCH($A81,'06-Precificacao'!$A$4:$A$123,0)),0))</f>
        <v/>
      </c>
      <c r="G81" s="9" t="n"/>
      <c r="H81" s="14">
        <f>IF(OR($A81="",$G81=""),"",$E81-$G81)</f>
        <v/>
      </c>
      <c r="I81" s="17">
        <f>IF(OR($A81="",$G81="",$E81=0),"",$H81/$E81)</f>
        <v/>
      </c>
      <c r="J81" s="5">
        <f>IF(OR($A81="",$G81=""),"",IF($G81&lt;$F81,"SIM - abaixo do LP","Não"))</f>
        <v/>
      </c>
      <c r="K81" s="14">
        <f>IF(OR($A81="",$G81=""),"",$G81-(IFERROR(INDEX('06-Precificacao'!$G$4:$G$123,MATCH($A81,'06-Precificacao'!$A$4:$A$123,0)),0)-IFERROR(INDEX('06-Precificacao'!$E$4:$E$123,MATCH($A81,'06-Precificacao'!$A$4:$A$123,0)),0)+IFERROR(INDEX('05-Financeiro'!$E$4:$E$123,MATCH($A81,'05-Financeiro'!$A$4:$A$123,0)),0))-($G81*'00-Parametros'!$C$9)-($G81*'00-Parametros'!$C$10)-IFERROR(INDEX('03-Marketing'!$C$4:$C$123,MATCH($A81,'03-Marketing'!$A$4:$A$123,0)),0)-($G81*'00-Parametros'!$C$12))</f>
        <v/>
      </c>
      <c r="L81" s="17">
        <f>IF(OR($A81="",$G81="",$G81=0),"",$K81/$G81)</f>
        <v/>
      </c>
    </row>
    <row r="82">
      <c r="A82" s="16" t="n"/>
      <c r="B82" s="5">
        <f>IF($A82="","",IFERROR(INDEX('01-Cadastro-Motos'!$B$4:$B$123,MATCH($A82,'01-Cadastro-Motos'!$A$4:$A$123,0)),""))</f>
        <v/>
      </c>
      <c r="C82" s="16" t="n"/>
      <c r="D82" s="23" t="n"/>
      <c r="E82" s="14">
        <f>IF($A82="","",IFERROR(INDEX('06-Precificacao'!$I$4:$I$123,MATCH($A82,'06-Precificacao'!$A$4:$A$123,0)),0))</f>
        <v/>
      </c>
      <c r="F82" s="14">
        <f>IF($A82="","",IFERROR(INDEX('06-Precificacao'!$K$4:$K$123,MATCH($A82,'06-Precificacao'!$A$4:$A$123,0)),0))</f>
        <v/>
      </c>
      <c r="G82" s="9" t="n"/>
      <c r="H82" s="14">
        <f>IF(OR($A82="",$G82=""),"",$E82-$G82)</f>
        <v/>
      </c>
      <c r="I82" s="17">
        <f>IF(OR($A82="",$G82="",$E82=0),"",$H82/$E82)</f>
        <v/>
      </c>
      <c r="J82" s="5">
        <f>IF(OR($A82="",$G82=""),"",IF($G82&lt;$F82,"SIM - abaixo do LP","Não"))</f>
        <v/>
      </c>
      <c r="K82" s="14">
        <f>IF(OR($A82="",$G82=""),"",$G82-(IFERROR(INDEX('06-Precificacao'!$G$4:$G$123,MATCH($A82,'06-Precificacao'!$A$4:$A$123,0)),0)-IFERROR(INDEX('06-Precificacao'!$E$4:$E$123,MATCH($A82,'06-Precificacao'!$A$4:$A$123,0)),0)+IFERROR(INDEX('05-Financeiro'!$E$4:$E$123,MATCH($A82,'05-Financeiro'!$A$4:$A$123,0)),0))-($G82*'00-Parametros'!$C$9)-($G82*'00-Parametros'!$C$10)-IFERROR(INDEX('03-Marketing'!$C$4:$C$123,MATCH($A82,'03-Marketing'!$A$4:$A$123,0)),0)-($G82*'00-Parametros'!$C$12))</f>
        <v/>
      </c>
      <c r="L82" s="17">
        <f>IF(OR($A82="",$G82="",$G82=0),"",$K82/$G82)</f>
        <v/>
      </c>
    </row>
    <row r="83">
      <c r="A83" s="16" t="n"/>
      <c r="B83" s="5">
        <f>IF($A83="","",IFERROR(INDEX('01-Cadastro-Motos'!$B$4:$B$123,MATCH($A83,'01-Cadastro-Motos'!$A$4:$A$123,0)),""))</f>
        <v/>
      </c>
      <c r="C83" s="16" t="n"/>
      <c r="D83" s="23" t="n"/>
      <c r="E83" s="14">
        <f>IF($A83="","",IFERROR(INDEX('06-Precificacao'!$I$4:$I$123,MATCH($A83,'06-Precificacao'!$A$4:$A$123,0)),0))</f>
        <v/>
      </c>
      <c r="F83" s="14">
        <f>IF($A83="","",IFERROR(INDEX('06-Precificacao'!$K$4:$K$123,MATCH($A83,'06-Precificacao'!$A$4:$A$123,0)),0))</f>
        <v/>
      </c>
      <c r="G83" s="9" t="n"/>
      <c r="H83" s="14">
        <f>IF(OR($A83="",$G83=""),"",$E83-$G83)</f>
        <v/>
      </c>
      <c r="I83" s="17">
        <f>IF(OR($A83="",$G83="",$E83=0),"",$H83/$E83)</f>
        <v/>
      </c>
      <c r="J83" s="5">
        <f>IF(OR($A83="",$G83=""),"",IF($G83&lt;$F83,"SIM - abaixo do LP","Não"))</f>
        <v/>
      </c>
      <c r="K83" s="14">
        <f>IF(OR($A83="",$G83=""),"",$G83-(IFERROR(INDEX('06-Precificacao'!$G$4:$G$123,MATCH($A83,'06-Precificacao'!$A$4:$A$123,0)),0)-IFERROR(INDEX('06-Precificacao'!$E$4:$E$123,MATCH($A83,'06-Precificacao'!$A$4:$A$123,0)),0)+IFERROR(INDEX('05-Financeiro'!$E$4:$E$123,MATCH($A83,'05-Financeiro'!$A$4:$A$123,0)),0))-($G83*'00-Parametros'!$C$9)-($G83*'00-Parametros'!$C$10)-IFERROR(INDEX('03-Marketing'!$C$4:$C$123,MATCH($A83,'03-Marketing'!$A$4:$A$123,0)),0)-($G83*'00-Parametros'!$C$12))</f>
        <v/>
      </c>
      <c r="L83" s="17">
        <f>IF(OR($A83="",$G83="",$G83=0),"",$K83/$G83)</f>
        <v/>
      </c>
    </row>
    <row r="84">
      <c r="A84" s="16" t="n"/>
      <c r="B84" s="5">
        <f>IF($A84="","",IFERROR(INDEX('01-Cadastro-Motos'!$B$4:$B$123,MATCH($A84,'01-Cadastro-Motos'!$A$4:$A$123,0)),""))</f>
        <v/>
      </c>
      <c r="C84" s="16" t="n"/>
      <c r="D84" s="23" t="n"/>
      <c r="E84" s="14">
        <f>IF($A84="","",IFERROR(INDEX('06-Precificacao'!$I$4:$I$123,MATCH($A84,'06-Precificacao'!$A$4:$A$123,0)),0))</f>
        <v/>
      </c>
      <c r="F84" s="14">
        <f>IF($A84="","",IFERROR(INDEX('06-Precificacao'!$K$4:$K$123,MATCH($A84,'06-Precificacao'!$A$4:$A$123,0)),0))</f>
        <v/>
      </c>
      <c r="G84" s="9" t="n"/>
      <c r="H84" s="14">
        <f>IF(OR($A84="",$G84=""),"",$E84-$G84)</f>
        <v/>
      </c>
      <c r="I84" s="17">
        <f>IF(OR($A84="",$G84="",$E84=0),"",$H84/$E84)</f>
        <v/>
      </c>
      <c r="J84" s="5">
        <f>IF(OR($A84="",$G84=""),"",IF($G84&lt;$F84,"SIM - abaixo do LP","Não"))</f>
        <v/>
      </c>
      <c r="K84" s="14">
        <f>IF(OR($A84="",$G84=""),"",$G84-(IFERROR(INDEX('06-Precificacao'!$G$4:$G$123,MATCH($A84,'06-Precificacao'!$A$4:$A$123,0)),0)-IFERROR(INDEX('06-Precificacao'!$E$4:$E$123,MATCH($A84,'06-Precificacao'!$A$4:$A$123,0)),0)+IFERROR(INDEX('05-Financeiro'!$E$4:$E$123,MATCH($A84,'05-Financeiro'!$A$4:$A$123,0)),0))-($G84*'00-Parametros'!$C$9)-($G84*'00-Parametros'!$C$10)-IFERROR(INDEX('03-Marketing'!$C$4:$C$123,MATCH($A84,'03-Marketing'!$A$4:$A$123,0)),0)-($G84*'00-Parametros'!$C$12))</f>
        <v/>
      </c>
      <c r="L84" s="17">
        <f>IF(OR($A84="",$G84="",$G84=0),"",$K84/$G84)</f>
        <v/>
      </c>
    </row>
    <row r="85">
      <c r="A85" s="16" t="n"/>
      <c r="B85" s="5">
        <f>IF($A85="","",IFERROR(INDEX('01-Cadastro-Motos'!$B$4:$B$123,MATCH($A85,'01-Cadastro-Motos'!$A$4:$A$123,0)),""))</f>
        <v/>
      </c>
      <c r="C85" s="16" t="n"/>
      <c r="D85" s="23" t="n"/>
      <c r="E85" s="14">
        <f>IF($A85="","",IFERROR(INDEX('06-Precificacao'!$I$4:$I$123,MATCH($A85,'06-Precificacao'!$A$4:$A$123,0)),0))</f>
        <v/>
      </c>
      <c r="F85" s="14">
        <f>IF($A85="","",IFERROR(INDEX('06-Precificacao'!$K$4:$K$123,MATCH($A85,'06-Precificacao'!$A$4:$A$123,0)),0))</f>
        <v/>
      </c>
      <c r="G85" s="9" t="n"/>
      <c r="H85" s="14">
        <f>IF(OR($A85="",$G85=""),"",$E85-$G85)</f>
        <v/>
      </c>
      <c r="I85" s="17">
        <f>IF(OR($A85="",$G85="",$E85=0),"",$H85/$E85)</f>
        <v/>
      </c>
      <c r="J85" s="5">
        <f>IF(OR($A85="",$G85=""),"",IF($G85&lt;$F85,"SIM - abaixo do LP","Não"))</f>
        <v/>
      </c>
      <c r="K85" s="14">
        <f>IF(OR($A85="",$G85=""),"",$G85-(IFERROR(INDEX('06-Precificacao'!$G$4:$G$123,MATCH($A85,'06-Precificacao'!$A$4:$A$123,0)),0)-IFERROR(INDEX('06-Precificacao'!$E$4:$E$123,MATCH($A85,'06-Precificacao'!$A$4:$A$123,0)),0)+IFERROR(INDEX('05-Financeiro'!$E$4:$E$123,MATCH($A85,'05-Financeiro'!$A$4:$A$123,0)),0))-($G85*'00-Parametros'!$C$9)-($G85*'00-Parametros'!$C$10)-IFERROR(INDEX('03-Marketing'!$C$4:$C$123,MATCH($A85,'03-Marketing'!$A$4:$A$123,0)),0)-($G85*'00-Parametros'!$C$12))</f>
        <v/>
      </c>
      <c r="L85" s="17">
        <f>IF(OR($A85="",$G85="",$G85=0),"",$K85/$G85)</f>
        <v/>
      </c>
    </row>
    <row r="86">
      <c r="A86" s="16" t="n"/>
      <c r="B86" s="5">
        <f>IF($A86="","",IFERROR(INDEX('01-Cadastro-Motos'!$B$4:$B$123,MATCH($A86,'01-Cadastro-Motos'!$A$4:$A$123,0)),""))</f>
        <v/>
      </c>
      <c r="C86" s="16" t="n"/>
      <c r="D86" s="23" t="n"/>
      <c r="E86" s="14">
        <f>IF($A86="","",IFERROR(INDEX('06-Precificacao'!$I$4:$I$123,MATCH($A86,'06-Precificacao'!$A$4:$A$123,0)),0))</f>
        <v/>
      </c>
      <c r="F86" s="14">
        <f>IF($A86="","",IFERROR(INDEX('06-Precificacao'!$K$4:$K$123,MATCH($A86,'06-Precificacao'!$A$4:$A$123,0)),0))</f>
        <v/>
      </c>
      <c r="G86" s="9" t="n"/>
      <c r="H86" s="14">
        <f>IF(OR($A86="",$G86=""),"",$E86-$G86)</f>
        <v/>
      </c>
      <c r="I86" s="17">
        <f>IF(OR($A86="",$G86="",$E86=0),"",$H86/$E86)</f>
        <v/>
      </c>
      <c r="J86" s="5">
        <f>IF(OR($A86="",$G86=""),"",IF($G86&lt;$F86,"SIM - abaixo do LP","Não"))</f>
        <v/>
      </c>
      <c r="K86" s="14">
        <f>IF(OR($A86="",$G86=""),"",$G86-(IFERROR(INDEX('06-Precificacao'!$G$4:$G$123,MATCH($A86,'06-Precificacao'!$A$4:$A$123,0)),0)-IFERROR(INDEX('06-Precificacao'!$E$4:$E$123,MATCH($A86,'06-Precificacao'!$A$4:$A$123,0)),0)+IFERROR(INDEX('05-Financeiro'!$E$4:$E$123,MATCH($A86,'05-Financeiro'!$A$4:$A$123,0)),0))-($G86*'00-Parametros'!$C$9)-($G86*'00-Parametros'!$C$10)-IFERROR(INDEX('03-Marketing'!$C$4:$C$123,MATCH($A86,'03-Marketing'!$A$4:$A$123,0)),0)-($G86*'00-Parametros'!$C$12))</f>
        <v/>
      </c>
      <c r="L86" s="17">
        <f>IF(OR($A86="",$G86="",$G86=0),"",$K86/$G86)</f>
        <v/>
      </c>
    </row>
    <row r="87">
      <c r="A87" s="16" t="n"/>
      <c r="B87" s="5">
        <f>IF($A87="","",IFERROR(INDEX('01-Cadastro-Motos'!$B$4:$B$123,MATCH($A87,'01-Cadastro-Motos'!$A$4:$A$123,0)),""))</f>
        <v/>
      </c>
      <c r="C87" s="16" t="n"/>
      <c r="D87" s="23" t="n"/>
      <c r="E87" s="14">
        <f>IF($A87="","",IFERROR(INDEX('06-Precificacao'!$I$4:$I$123,MATCH($A87,'06-Precificacao'!$A$4:$A$123,0)),0))</f>
        <v/>
      </c>
      <c r="F87" s="14">
        <f>IF($A87="","",IFERROR(INDEX('06-Precificacao'!$K$4:$K$123,MATCH($A87,'06-Precificacao'!$A$4:$A$123,0)),0))</f>
        <v/>
      </c>
      <c r="G87" s="9" t="n"/>
      <c r="H87" s="14">
        <f>IF(OR($A87="",$G87=""),"",$E87-$G87)</f>
        <v/>
      </c>
      <c r="I87" s="17">
        <f>IF(OR($A87="",$G87="",$E87=0),"",$H87/$E87)</f>
        <v/>
      </c>
      <c r="J87" s="5">
        <f>IF(OR($A87="",$G87=""),"",IF($G87&lt;$F87,"SIM - abaixo do LP","Não"))</f>
        <v/>
      </c>
      <c r="K87" s="14">
        <f>IF(OR($A87="",$G87=""),"",$G87-(IFERROR(INDEX('06-Precificacao'!$G$4:$G$123,MATCH($A87,'06-Precificacao'!$A$4:$A$123,0)),0)-IFERROR(INDEX('06-Precificacao'!$E$4:$E$123,MATCH($A87,'06-Precificacao'!$A$4:$A$123,0)),0)+IFERROR(INDEX('05-Financeiro'!$E$4:$E$123,MATCH($A87,'05-Financeiro'!$A$4:$A$123,0)),0))-($G87*'00-Parametros'!$C$9)-($G87*'00-Parametros'!$C$10)-IFERROR(INDEX('03-Marketing'!$C$4:$C$123,MATCH($A87,'03-Marketing'!$A$4:$A$123,0)),0)-($G87*'00-Parametros'!$C$12))</f>
        <v/>
      </c>
      <c r="L87" s="17">
        <f>IF(OR($A87="",$G87="",$G87=0),"",$K87/$G87)</f>
        <v/>
      </c>
    </row>
    <row r="88">
      <c r="A88" s="16" t="n"/>
      <c r="B88" s="5">
        <f>IF($A88="","",IFERROR(INDEX('01-Cadastro-Motos'!$B$4:$B$123,MATCH($A88,'01-Cadastro-Motos'!$A$4:$A$123,0)),""))</f>
        <v/>
      </c>
      <c r="C88" s="16" t="n"/>
      <c r="D88" s="23" t="n"/>
      <c r="E88" s="14">
        <f>IF($A88="","",IFERROR(INDEX('06-Precificacao'!$I$4:$I$123,MATCH($A88,'06-Precificacao'!$A$4:$A$123,0)),0))</f>
        <v/>
      </c>
      <c r="F88" s="14">
        <f>IF($A88="","",IFERROR(INDEX('06-Precificacao'!$K$4:$K$123,MATCH($A88,'06-Precificacao'!$A$4:$A$123,0)),0))</f>
        <v/>
      </c>
      <c r="G88" s="9" t="n"/>
      <c r="H88" s="14">
        <f>IF(OR($A88="",$G88=""),"",$E88-$G88)</f>
        <v/>
      </c>
      <c r="I88" s="17">
        <f>IF(OR($A88="",$G88="",$E88=0),"",$H88/$E88)</f>
        <v/>
      </c>
      <c r="J88" s="5">
        <f>IF(OR($A88="",$G88=""),"",IF($G88&lt;$F88,"SIM - abaixo do LP","Não"))</f>
        <v/>
      </c>
      <c r="K88" s="14">
        <f>IF(OR($A88="",$G88=""),"",$G88-(IFERROR(INDEX('06-Precificacao'!$G$4:$G$123,MATCH($A88,'06-Precificacao'!$A$4:$A$123,0)),0)-IFERROR(INDEX('06-Precificacao'!$E$4:$E$123,MATCH($A88,'06-Precificacao'!$A$4:$A$123,0)),0)+IFERROR(INDEX('05-Financeiro'!$E$4:$E$123,MATCH($A88,'05-Financeiro'!$A$4:$A$123,0)),0))-($G88*'00-Parametros'!$C$9)-($G88*'00-Parametros'!$C$10)-IFERROR(INDEX('03-Marketing'!$C$4:$C$123,MATCH($A88,'03-Marketing'!$A$4:$A$123,0)),0)-($G88*'00-Parametros'!$C$12))</f>
        <v/>
      </c>
      <c r="L88" s="17">
        <f>IF(OR($A88="",$G88="",$G88=0),"",$K88/$G88)</f>
        <v/>
      </c>
    </row>
    <row r="89">
      <c r="A89" s="16" t="n"/>
      <c r="B89" s="5">
        <f>IF($A89="","",IFERROR(INDEX('01-Cadastro-Motos'!$B$4:$B$123,MATCH($A89,'01-Cadastro-Motos'!$A$4:$A$123,0)),""))</f>
        <v/>
      </c>
      <c r="C89" s="16" t="n"/>
      <c r="D89" s="23" t="n"/>
      <c r="E89" s="14">
        <f>IF($A89="","",IFERROR(INDEX('06-Precificacao'!$I$4:$I$123,MATCH($A89,'06-Precificacao'!$A$4:$A$123,0)),0))</f>
        <v/>
      </c>
      <c r="F89" s="14">
        <f>IF($A89="","",IFERROR(INDEX('06-Precificacao'!$K$4:$K$123,MATCH($A89,'06-Precificacao'!$A$4:$A$123,0)),0))</f>
        <v/>
      </c>
      <c r="G89" s="9" t="n"/>
      <c r="H89" s="14">
        <f>IF(OR($A89="",$G89=""),"",$E89-$G89)</f>
        <v/>
      </c>
      <c r="I89" s="17">
        <f>IF(OR($A89="",$G89="",$E89=0),"",$H89/$E89)</f>
        <v/>
      </c>
      <c r="J89" s="5">
        <f>IF(OR($A89="",$G89=""),"",IF($G89&lt;$F89,"SIM - abaixo do LP","Não"))</f>
        <v/>
      </c>
      <c r="K89" s="14">
        <f>IF(OR($A89="",$G89=""),"",$G89-(IFERROR(INDEX('06-Precificacao'!$G$4:$G$123,MATCH($A89,'06-Precificacao'!$A$4:$A$123,0)),0)-IFERROR(INDEX('06-Precificacao'!$E$4:$E$123,MATCH($A89,'06-Precificacao'!$A$4:$A$123,0)),0)+IFERROR(INDEX('05-Financeiro'!$E$4:$E$123,MATCH($A89,'05-Financeiro'!$A$4:$A$123,0)),0))-($G89*'00-Parametros'!$C$9)-($G89*'00-Parametros'!$C$10)-IFERROR(INDEX('03-Marketing'!$C$4:$C$123,MATCH($A89,'03-Marketing'!$A$4:$A$123,0)),0)-($G89*'00-Parametros'!$C$12))</f>
        <v/>
      </c>
      <c r="L89" s="17">
        <f>IF(OR($A89="",$G89="",$G89=0),"",$K89/$G89)</f>
        <v/>
      </c>
    </row>
    <row r="90">
      <c r="A90" s="16" t="n"/>
      <c r="B90" s="5">
        <f>IF($A90="","",IFERROR(INDEX('01-Cadastro-Motos'!$B$4:$B$123,MATCH($A90,'01-Cadastro-Motos'!$A$4:$A$123,0)),""))</f>
        <v/>
      </c>
      <c r="C90" s="16" t="n"/>
      <c r="D90" s="23" t="n"/>
      <c r="E90" s="14">
        <f>IF($A90="","",IFERROR(INDEX('06-Precificacao'!$I$4:$I$123,MATCH($A90,'06-Precificacao'!$A$4:$A$123,0)),0))</f>
        <v/>
      </c>
      <c r="F90" s="14">
        <f>IF($A90="","",IFERROR(INDEX('06-Precificacao'!$K$4:$K$123,MATCH($A90,'06-Precificacao'!$A$4:$A$123,0)),0))</f>
        <v/>
      </c>
      <c r="G90" s="9" t="n"/>
      <c r="H90" s="14">
        <f>IF(OR($A90="",$G90=""),"",$E90-$G90)</f>
        <v/>
      </c>
      <c r="I90" s="17">
        <f>IF(OR($A90="",$G90="",$E90=0),"",$H90/$E90)</f>
        <v/>
      </c>
      <c r="J90" s="5">
        <f>IF(OR($A90="",$G90=""),"",IF($G90&lt;$F90,"SIM - abaixo do LP","Não"))</f>
        <v/>
      </c>
      <c r="K90" s="14">
        <f>IF(OR($A90="",$G90=""),"",$G90-(IFERROR(INDEX('06-Precificacao'!$G$4:$G$123,MATCH($A90,'06-Precificacao'!$A$4:$A$123,0)),0)-IFERROR(INDEX('06-Precificacao'!$E$4:$E$123,MATCH($A90,'06-Precificacao'!$A$4:$A$123,0)),0)+IFERROR(INDEX('05-Financeiro'!$E$4:$E$123,MATCH($A90,'05-Financeiro'!$A$4:$A$123,0)),0))-($G90*'00-Parametros'!$C$9)-($G90*'00-Parametros'!$C$10)-IFERROR(INDEX('03-Marketing'!$C$4:$C$123,MATCH($A90,'03-Marketing'!$A$4:$A$123,0)),0)-($G90*'00-Parametros'!$C$12))</f>
        <v/>
      </c>
      <c r="L90" s="17">
        <f>IF(OR($A90="",$G90="",$G90=0),"",$K90/$G90)</f>
        <v/>
      </c>
    </row>
    <row r="91">
      <c r="A91" s="16" t="n"/>
      <c r="B91" s="5">
        <f>IF($A91="","",IFERROR(INDEX('01-Cadastro-Motos'!$B$4:$B$123,MATCH($A91,'01-Cadastro-Motos'!$A$4:$A$123,0)),""))</f>
        <v/>
      </c>
      <c r="C91" s="16" t="n"/>
      <c r="D91" s="23" t="n"/>
      <c r="E91" s="14">
        <f>IF($A91="","",IFERROR(INDEX('06-Precificacao'!$I$4:$I$123,MATCH($A91,'06-Precificacao'!$A$4:$A$123,0)),0))</f>
        <v/>
      </c>
      <c r="F91" s="14">
        <f>IF($A91="","",IFERROR(INDEX('06-Precificacao'!$K$4:$K$123,MATCH($A91,'06-Precificacao'!$A$4:$A$123,0)),0))</f>
        <v/>
      </c>
      <c r="G91" s="9" t="n"/>
      <c r="H91" s="14">
        <f>IF(OR($A91="",$G91=""),"",$E91-$G91)</f>
        <v/>
      </c>
      <c r="I91" s="17">
        <f>IF(OR($A91="",$G91="",$E91=0),"",$H91/$E91)</f>
        <v/>
      </c>
      <c r="J91" s="5">
        <f>IF(OR($A91="",$G91=""),"",IF($G91&lt;$F91,"SIM - abaixo do LP","Não"))</f>
        <v/>
      </c>
      <c r="K91" s="14">
        <f>IF(OR($A91="",$G91=""),"",$G91-(IFERROR(INDEX('06-Precificacao'!$G$4:$G$123,MATCH($A91,'06-Precificacao'!$A$4:$A$123,0)),0)-IFERROR(INDEX('06-Precificacao'!$E$4:$E$123,MATCH($A91,'06-Precificacao'!$A$4:$A$123,0)),0)+IFERROR(INDEX('05-Financeiro'!$E$4:$E$123,MATCH($A91,'05-Financeiro'!$A$4:$A$123,0)),0))-($G91*'00-Parametros'!$C$9)-($G91*'00-Parametros'!$C$10)-IFERROR(INDEX('03-Marketing'!$C$4:$C$123,MATCH($A91,'03-Marketing'!$A$4:$A$123,0)),0)-($G91*'00-Parametros'!$C$12))</f>
        <v/>
      </c>
      <c r="L91" s="17">
        <f>IF(OR($A91="",$G91="",$G91=0),"",$K91/$G91)</f>
        <v/>
      </c>
    </row>
    <row r="92">
      <c r="A92" s="16" t="n"/>
      <c r="B92" s="5">
        <f>IF($A92="","",IFERROR(INDEX('01-Cadastro-Motos'!$B$4:$B$123,MATCH($A92,'01-Cadastro-Motos'!$A$4:$A$123,0)),""))</f>
        <v/>
      </c>
      <c r="C92" s="16" t="n"/>
      <c r="D92" s="23" t="n"/>
      <c r="E92" s="14">
        <f>IF($A92="","",IFERROR(INDEX('06-Precificacao'!$I$4:$I$123,MATCH($A92,'06-Precificacao'!$A$4:$A$123,0)),0))</f>
        <v/>
      </c>
      <c r="F92" s="14">
        <f>IF($A92="","",IFERROR(INDEX('06-Precificacao'!$K$4:$K$123,MATCH($A92,'06-Precificacao'!$A$4:$A$123,0)),0))</f>
        <v/>
      </c>
      <c r="G92" s="9" t="n"/>
      <c r="H92" s="14">
        <f>IF(OR($A92="",$G92=""),"",$E92-$G92)</f>
        <v/>
      </c>
      <c r="I92" s="17">
        <f>IF(OR($A92="",$G92="",$E92=0),"",$H92/$E92)</f>
        <v/>
      </c>
      <c r="J92" s="5">
        <f>IF(OR($A92="",$G92=""),"",IF($G92&lt;$F92,"SIM - abaixo do LP","Não"))</f>
        <v/>
      </c>
      <c r="K92" s="14">
        <f>IF(OR($A92="",$G92=""),"",$G92-(IFERROR(INDEX('06-Precificacao'!$G$4:$G$123,MATCH($A92,'06-Precificacao'!$A$4:$A$123,0)),0)-IFERROR(INDEX('06-Precificacao'!$E$4:$E$123,MATCH($A92,'06-Precificacao'!$A$4:$A$123,0)),0)+IFERROR(INDEX('05-Financeiro'!$E$4:$E$123,MATCH($A92,'05-Financeiro'!$A$4:$A$123,0)),0))-($G92*'00-Parametros'!$C$9)-($G92*'00-Parametros'!$C$10)-IFERROR(INDEX('03-Marketing'!$C$4:$C$123,MATCH($A92,'03-Marketing'!$A$4:$A$123,0)),0)-($G92*'00-Parametros'!$C$12))</f>
        <v/>
      </c>
      <c r="L92" s="17">
        <f>IF(OR($A92="",$G92="",$G92=0),"",$K92/$G92)</f>
        <v/>
      </c>
    </row>
    <row r="93">
      <c r="A93" s="16" t="n"/>
      <c r="B93" s="5">
        <f>IF($A93="","",IFERROR(INDEX('01-Cadastro-Motos'!$B$4:$B$123,MATCH($A93,'01-Cadastro-Motos'!$A$4:$A$123,0)),""))</f>
        <v/>
      </c>
      <c r="C93" s="16" t="n"/>
      <c r="D93" s="23" t="n"/>
      <c r="E93" s="14">
        <f>IF($A93="","",IFERROR(INDEX('06-Precificacao'!$I$4:$I$123,MATCH($A93,'06-Precificacao'!$A$4:$A$123,0)),0))</f>
        <v/>
      </c>
      <c r="F93" s="14">
        <f>IF($A93="","",IFERROR(INDEX('06-Precificacao'!$K$4:$K$123,MATCH($A93,'06-Precificacao'!$A$4:$A$123,0)),0))</f>
        <v/>
      </c>
      <c r="G93" s="9" t="n"/>
      <c r="H93" s="14">
        <f>IF(OR($A93="",$G93=""),"",$E93-$G93)</f>
        <v/>
      </c>
      <c r="I93" s="17">
        <f>IF(OR($A93="",$G93="",$E93=0),"",$H93/$E93)</f>
        <v/>
      </c>
      <c r="J93" s="5">
        <f>IF(OR($A93="",$G93=""),"",IF($G93&lt;$F93,"SIM - abaixo do LP","Não"))</f>
        <v/>
      </c>
      <c r="K93" s="14">
        <f>IF(OR($A93="",$G93=""),"",$G93-(IFERROR(INDEX('06-Precificacao'!$G$4:$G$123,MATCH($A93,'06-Precificacao'!$A$4:$A$123,0)),0)-IFERROR(INDEX('06-Precificacao'!$E$4:$E$123,MATCH($A93,'06-Precificacao'!$A$4:$A$123,0)),0)+IFERROR(INDEX('05-Financeiro'!$E$4:$E$123,MATCH($A93,'05-Financeiro'!$A$4:$A$123,0)),0))-($G93*'00-Parametros'!$C$9)-($G93*'00-Parametros'!$C$10)-IFERROR(INDEX('03-Marketing'!$C$4:$C$123,MATCH($A93,'03-Marketing'!$A$4:$A$123,0)),0)-($G93*'00-Parametros'!$C$12))</f>
        <v/>
      </c>
      <c r="L93" s="17">
        <f>IF(OR($A93="",$G93="",$G93=0),"",$K93/$G93)</f>
        <v/>
      </c>
    </row>
    <row r="94">
      <c r="A94" s="16" t="n"/>
      <c r="B94" s="5">
        <f>IF($A94="","",IFERROR(INDEX('01-Cadastro-Motos'!$B$4:$B$123,MATCH($A94,'01-Cadastro-Motos'!$A$4:$A$123,0)),""))</f>
        <v/>
      </c>
      <c r="C94" s="16" t="n"/>
      <c r="D94" s="23" t="n"/>
      <c r="E94" s="14">
        <f>IF($A94="","",IFERROR(INDEX('06-Precificacao'!$I$4:$I$123,MATCH($A94,'06-Precificacao'!$A$4:$A$123,0)),0))</f>
        <v/>
      </c>
      <c r="F94" s="14">
        <f>IF($A94="","",IFERROR(INDEX('06-Precificacao'!$K$4:$K$123,MATCH($A94,'06-Precificacao'!$A$4:$A$123,0)),0))</f>
        <v/>
      </c>
      <c r="G94" s="9" t="n"/>
      <c r="H94" s="14">
        <f>IF(OR($A94="",$G94=""),"",$E94-$G94)</f>
        <v/>
      </c>
      <c r="I94" s="17">
        <f>IF(OR($A94="",$G94="",$E94=0),"",$H94/$E94)</f>
        <v/>
      </c>
      <c r="J94" s="5">
        <f>IF(OR($A94="",$G94=""),"",IF($G94&lt;$F94,"SIM - abaixo do LP","Não"))</f>
        <v/>
      </c>
      <c r="K94" s="14">
        <f>IF(OR($A94="",$G94=""),"",$G94-(IFERROR(INDEX('06-Precificacao'!$G$4:$G$123,MATCH($A94,'06-Precificacao'!$A$4:$A$123,0)),0)-IFERROR(INDEX('06-Precificacao'!$E$4:$E$123,MATCH($A94,'06-Precificacao'!$A$4:$A$123,0)),0)+IFERROR(INDEX('05-Financeiro'!$E$4:$E$123,MATCH($A94,'05-Financeiro'!$A$4:$A$123,0)),0))-($G94*'00-Parametros'!$C$9)-($G94*'00-Parametros'!$C$10)-IFERROR(INDEX('03-Marketing'!$C$4:$C$123,MATCH($A94,'03-Marketing'!$A$4:$A$123,0)),0)-($G94*'00-Parametros'!$C$12))</f>
        <v/>
      </c>
      <c r="L94" s="17">
        <f>IF(OR($A94="",$G94="",$G94=0),"",$K94/$G94)</f>
        <v/>
      </c>
    </row>
    <row r="95">
      <c r="A95" s="16" t="n"/>
      <c r="B95" s="5">
        <f>IF($A95="","",IFERROR(INDEX('01-Cadastro-Motos'!$B$4:$B$123,MATCH($A95,'01-Cadastro-Motos'!$A$4:$A$123,0)),""))</f>
        <v/>
      </c>
      <c r="C95" s="16" t="n"/>
      <c r="D95" s="23" t="n"/>
      <c r="E95" s="14">
        <f>IF($A95="","",IFERROR(INDEX('06-Precificacao'!$I$4:$I$123,MATCH($A95,'06-Precificacao'!$A$4:$A$123,0)),0))</f>
        <v/>
      </c>
      <c r="F95" s="14">
        <f>IF($A95="","",IFERROR(INDEX('06-Precificacao'!$K$4:$K$123,MATCH($A95,'06-Precificacao'!$A$4:$A$123,0)),0))</f>
        <v/>
      </c>
      <c r="G95" s="9" t="n"/>
      <c r="H95" s="14">
        <f>IF(OR($A95="",$G95=""),"",$E95-$G95)</f>
        <v/>
      </c>
      <c r="I95" s="17">
        <f>IF(OR($A95="",$G95="",$E95=0),"",$H95/$E95)</f>
        <v/>
      </c>
      <c r="J95" s="5">
        <f>IF(OR($A95="",$G95=""),"",IF($G95&lt;$F95,"SIM - abaixo do LP","Não"))</f>
        <v/>
      </c>
      <c r="K95" s="14">
        <f>IF(OR($A95="",$G95=""),"",$G95-(IFERROR(INDEX('06-Precificacao'!$G$4:$G$123,MATCH($A95,'06-Precificacao'!$A$4:$A$123,0)),0)-IFERROR(INDEX('06-Precificacao'!$E$4:$E$123,MATCH($A95,'06-Precificacao'!$A$4:$A$123,0)),0)+IFERROR(INDEX('05-Financeiro'!$E$4:$E$123,MATCH($A95,'05-Financeiro'!$A$4:$A$123,0)),0))-($G95*'00-Parametros'!$C$9)-($G95*'00-Parametros'!$C$10)-IFERROR(INDEX('03-Marketing'!$C$4:$C$123,MATCH($A95,'03-Marketing'!$A$4:$A$123,0)),0)-($G95*'00-Parametros'!$C$12))</f>
        <v/>
      </c>
      <c r="L95" s="17">
        <f>IF(OR($A95="",$G95="",$G95=0),"",$K95/$G95)</f>
        <v/>
      </c>
    </row>
    <row r="96">
      <c r="A96" s="16" t="n"/>
      <c r="B96" s="5">
        <f>IF($A96="","",IFERROR(INDEX('01-Cadastro-Motos'!$B$4:$B$123,MATCH($A96,'01-Cadastro-Motos'!$A$4:$A$123,0)),""))</f>
        <v/>
      </c>
      <c r="C96" s="16" t="n"/>
      <c r="D96" s="23" t="n"/>
      <c r="E96" s="14">
        <f>IF($A96="","",IFERROR(INDEX('06-Precificacao'!$I$4:$I$123,MATCH($A96,'06-Precificacao'!$A$4:$A$123,0)),0))</f>
        <v/>
      </c>
      <c r="F96" s="14">
        <f>IF($A96="","",IFERROR(INDEX('06-Precificacao'!$K$4:$K$123,MATCH($A96,'06-Precificacao'!$A$4:$A$123,0)),0))</f>
        <v/>
      </c>
      <c r="G96" s="9" t="n"/>
      <c r="H96" s="14">
        <f>IF(OR($A96="",$G96=""),"",$E96-$G96)</f>
        <v/>
      </c>
      <c r="I96" s="17">
        <f>IF(OR($A96="",$G96="",$E96=0),"",$H96/$E96)</f>
        <v/>
      </c>
      <c r="J96" s="5">
        <f>IF(OR($A96="",$G96=""),"",IF($G96&lt;$F96,"SIM - abaixo do LP","Não"))</f>
        <v/>
      </c>
      <c r="K96" s="14">
        <f>IF(OR($A96="",$G96=""),"",$G96-(IFERROR(INDEX('06-Precificacao'!$G$4:$G$123,MATCH($A96,'06-Precificacao'!$A$4:$A$123,0)),0)-IFERROR(INDEX('06-Precificacao'!$E$4:$E$123,MATCH($A96,'06-Precificacao'!$A$4:$A$123,0)),0)+IFERROR(INDEX('05-Financeiro'!$E$4:$E$123,MATCH($A96,'05-Financeiro'!$A$4:$A$123,0)),0))-($G96*'00-Parametros'!$C$9)-($G96*'00-Parametros'!$C$10)-IFERROR(INDEX('03-Marketing'!$C$4:$C$123,MATCH($A96,'03-Marketing'!$A$4:$A$123,0)),0)-($G96*'00-Parametros'!$C$12))</f>
        <v/>
      </c>
      <c r="L96" s="17">
        <f>IF(OR($A96="",$G96="",$G96=0),"",$K96/$G96)</f>
        <v/>
      </c>
    </row>
    <row r="97">
      <c r="A97" s="16" t="n"/>
      <c r="B97" s="5">
        <f>IF($A97="","",IFERROR(INDEX('01-Cadastro-Motos'!$B$4:$B$123,MATCH($A97,'01-Cadastro-Motos'!$A$4:$A$123,0)),""))</f>
        <v/>
      </c>
      <c r="C97" s="16" t="n"/>
      <c r="D97" s="23" t="n"/>
      <c r="E97" s="14">
        <f>IF($A97="","",IFERROR(INDEX('06-Precificacao'!$I$4:$I$123,MATCH($A97,'06-Precificacao'!$A$4:$A$123,0)),0))</f>
        <v/>
      </c>
      <c r="F97" s="14">
        <f>IF($A97="","",IFERROR(INDEX('06-Precificacao'!$K$4:$K$123,MATCH($A97,'06-Precificacao'!$A$4:$A$123,0)),0))</f>
        <v/>
      </c>
      <c r="G97" s="9" t="n"/>
      <c r="H97" s="14">
        <f>IF(OR($A97="",$G97=""),"",$E97-$G97)</f>
        <v/>
      </c>
      <c r="I97" s="17">
        <f>IF(OR($A97="",$G97="",$E97=0),"",$H97/$E97)</f>
        <v/>
      </c>
      <c r="J97" s="5">
        <f>IF(OR($A97="",$G97=""),"",IF($G97&lt;$F97,"SIM - abaixo do LP","Não"))</f>
        <v/>
      </c>
      <c r="K97" s="14">
        <f>IF(OR($A97="",$G97=""),"",$G97-(IFERROR(INDEX('06-Precificacao'!$G$4:$G$123,MATCH($A97,'06-Precificacao'!$A$4:$A$123,0)),0)-IFERROR(INDEX('06-Precificacao'!$E$4:$E$123,MATCH($A97,'06-Precificacao'!$A$4:$A$123,0)),0)+IFERROR(INDEX('05-Financeiro'!$E$4:$E$123,MATCH($A97,'05-Financeiro'!$A$4:$A$123,0)),0))-($G97*'00-Parametros'!$C$9)-($G97*'00-Parametros'!$C$10)-IFERROR(INDEX('03-Marketing'!$C$4:$C$123,MATCH($A97,'03-Marketing'!$A$4:$A$123,0)),0)-($G97*'00-Parametros'!$C$12))</f>
        <v/>
      </c>
      <c r="L97" s="17">
        <f>IF(OR($A97="",$G97="",$G97=0),"",$K97/$G97)</f>
        <v/>
      </c>
    </row>
    <row r="98">
      <c r="A98" s="16" t="n"/>
      <c r="B98" s="5">
        <f>IF($A98="","",IFERROR(INDEX('01-Cadastro-Motos'!$B$4:$B$123,MATCH($A98,'01-Cadastro-Motos'!$A$4:$A$123,0)),""))</f>
        <v/>
      </c>
      <c r="C98" s="16" t="n"/>
      <c r="D98" s="23" t="n"/>
      <c r="E98" s="14">
        <f>IF($A98="","",IFERROR(INDEX('06-Precificacao'!$I$4:$I$123,MATCH($A98,'06-Precificacao'!$A$4:$A$123,0)),0))</f>
        <v/>
      </c>
      <c r="F98" s="14">
        <f>IF($A98="","",IFERROR(INDEX('06-Precificacao'!$K$4:$K$123,MATCH($A98,'06-Precificacao'!$A$4:$A$123,0)),0))</f>
        <v/>
      </c>
      <c r="G98" s="9" t="n"/>
      <c r="H98" s="14">
        <f>IF(OR($A98="",$G98=""),"",$E98-$G98)</f>
        <v/>
      </c>
      <c r="I98" s="17">
        <f>IF(OR($A98="",$G98="",$E98=0),"",$H98/$E98)</f>
        <v/>
      </c>
      <c r="J98" s="5">
        <f>IF(OR($A98="",$G98=""),"",IF($G98&lt;$F98,"SIM - abaixo do LP","Não"))</f>
        <v/>
      </c>
      <c r="K98" s="14">
        <f>IF(OR($A98="",$G98=""),"",$G98-(IFERROR(INDEX('06-Precificacao'!$G$4:$G$123,MATCH($A98,'06-Precificacao'!$A$4:$A$123,0)),0)-IFERROR(INDEX('06-Precificacao'!$E$4:$E$123,MATCH($A98,'06-Precificacao'!$A$4:$A$123,0)),0)+IFERROR(INDEX('05-Financeiro'!$E$4:$E$123,MATCH($A98,'05-Financeiro'!$A$4:$A$123,0)),0))-($G98*'00-Parametros'!$C$9)-($G98*'00-Parametros'!$C$10)-IFERROR(INDEX('03-Marketing'!$C$4:$C$123,MATCH($A98,'03-Marketing'!$A$4:$A$123,0)),0)-($G98*'00-Parametros'!$C$12))</f>
        <v/>
      </c>
      <c r="L98" s="17">
        <f>IF(OR($A98="",$G98="",$G98=0),"",$K98/$G98)</f>
        <v/>
      </c>
    </row>
    <row r="99">
      <c r="A99" s="16" t="n"/>
      <c r="B99" s="5">
        <f>IF($A99="","",IFERROR(INDEX('01-Cadastro-Motos'!$B$4:$B$123,MATCH($A99,'01-Cadastro-Motos'!$A$4:$A$123,0)),""))</f>
        <v/>
      </c>
      <c r="C99" s="16" t="n"/>
      <c r="D99" s="23" t="n"/>
      <c r="E99" s="14">
        <f>IF($A99="","",IFERROR(INDEX('06-Precificacao'!$I$4:$I$123,MATCH($A99,'06-Precificacao'!$A$4:$A$123,0)),0))</f>
        <v/>
      </c>
      <c r="F99" s="14">
        <f>IF($A99="","",IFERROR(INDEX('06-Precificacao'!$K$4:$K$123,MATCH($A99,'06-Precificacao'!$A$4:$A$123,0)),0))</f>
        <v/>
      </c>
      <c r="G99" s="9" t="n"/>
      <c r="H99" s="14">
        <f>IF(OR($A99="",$G99=""),"",$E99-$G99)</f>
        <v/>
      </c>
      <c r="I99" s="17">
        <f>IF(OR($A99="",$G99="",$E99=0),"",$H99/$E99)</f>
        <v/>
      </c>
      <c r="J99" s="5">
        <f>IF(OR($A99="",$G99=""),"",IF($G99&lt;$F99,"SIM - abaixo do LP","Não"))</f>
        <v/>
      </c>
      <c r="K99" s="14">
        <f>IF(OR($A99="",$G99=""),"",$G99-(IFERROR(INDEX('06-Precificacao'!$G$4:$G$123,MATCH($A99,'06-Precificacao'!$A$4:$A$123,0)),0)-IFERROR(INDEX('06-Precificacao'!$E$4:$E$123,MATCH($A99,'06-Precificacao'!$A$4:$A$123,0)),0)+IFERROR(INDEX('05-Financeiro'!$E$4:$E$123,MATCH($A99,'05-Financeiro'!$A$4:$A$123,0)),0))-($G99*'00-Parametros'!$C$9)-($G99*'00-Parametros'!$C$10)-IFERROR(INDEX('03-Marketing'!$C$4:$C$123,MATCH($A99,'03-Marketing'!$A$4:$A$123,0)),0)-($G99*'00-Parametros'!$C$12))</f>
        <v/>
      </c>
      <c r="L99" s="17">
        <f>IF(OR($A99="",$G99="",$G99=0),"",$K99/$G99)</f>
        <v/>
      </c>
    </row>
    <row r="100">
      <c r="A100" s="16" t="n"/>
      <c r="B100" s="5">
        <f>IF($A100="","",IFERROR(INDEX('01-Cadastro-Motos'!$B$4:$B$123,MATCH($A100,'01-Cadastro-Motos'!$A$4:$A$123,0)),""))</f>
        <v/>
      </c>
      <c r="C100" s="16" t="n"/>
      <c r="D100" s="23" t="n"/>
      <c r="E100" s="14">
        <f>IF($A100="","",IFERROR(INDEX('06-Precificacao'!$I$4:$I$123,MATCH($A100,'06-Precificacao'!$A$4:$A$123,0)),0))</f>
        <v/>
      </c>
      <c r="F100" s="14">
        <f>IF($A100="","",IFERROR(INDEX('06-Precificacao'!$K$4:$K$123,MATCH($A100,'06-Precificacao'!$A$4:$A$123,0)),0))</f>
        <v/>
      </c>
      <c r="G100" s="9" t="n"/>
      <c r="H100" s="14">
        <f>IF(OR($A100="",$G100=""),"",$E100-$G100)</f>
        <v/>
      </c>
      <c r="I100" s="17">
        <f>IF(OR($A100="",$G100="",$E100=0),"",$H100/$E100)</f>
        <v/>
      </c>
      <c r="J100" s="5">
        <f>IF(OR($A100="",$G100=""),"",IF($G100&lt;$F100,"SIM - abaixo do LP","Não"))</f>
        <v/>
      </c>
      <c r="K100" s="14">
        <f>IF(OR($A100="",$G100=""),"",$G100-(IFERROR(INDEX('06-Precificacao'!$G$4:$G$123,MATCH($A100,'06-Precificacao'!$A$4:$A$123,0)),0)-IFERROR(INDEX('06-Precificacao'!$E$4:$E$123,MATCH($A100,'06-Precificacao'!$A$4:$A$123,0)),0)+IFERROR(INDEX('05-Financeiro'!$E$4:$E$123,MATCH($A100,'05-Financeiro'!$A$4:$A$123,0)),0))-($G100*'00-Parametros'!$C$9)-($G100*'00-Parametros'!$C$10)-IFERROR(INDEX('03-Marketing'!$C$4:$C$123,MATCH($A100,'03-Marketing'!$A$4:$A$123,0)),0)-($G100*'00-Parametros'!$C$12))</f>
        <v/>
      </c>
      <c r="L100" s="17">
        <f>IF(OR($A100="",$G100="",$G100=0),"",$K100/$G100)</f>
        <v/>
      </c>
    </row>
    <row r="101">
      <c r="A101" s="16" t="n"/>
      <c r="B101" s="5">
        <f>IF($A101="","",IFERROR(INDEX('01-Cadastro-Motos'!$B$4:$B$123,MATCH($A101,'01-Cadastro-Motos'!$A$4:$A$123,0)),""))</f>
        <v/>
      </c>
      <c r="C101" s="16" t="n"/>
      <c r="D101" s="23" t="n"/>
      <c r="E101" s="14">
        <f>IF($A101="","",IFERROR(INDEX('06-Precificacao'!$I$4:$I$123,MATCH($A101,'06-Precificacao'!$A$4:$A$123,0)),0))</f>
        <v/>
      </c>
      <c r="F101" s="14">
        <f>IF($A101="","",IFERROR(INDEX('06-Precificacao'!$K$4:$K$123,MATCH($A101,'06-Precificacao'!$A$4:$A$123,0)),0))</f>
        <v/>
      </c>
      <c r="G101" s="9" t="n"/>
      <c r="H101" s="14">
        <f>IF(OR($A101="",$G101=""),"",$E101-$G101)</f>
        <v/>
      </c>
      <c r="I101" s="17">
        <f>IF(OR($A101="",$G101="",$E101=0),"",$H101/$E101)</f>
        <v/>
      </c>
      <c r="J101" s="5">
        <f>IF(OR($A101="",$G101=""),"",IF($G101&lt;$F101,"SIM - abaixo do LP","Não"))</f>
        <v/>
      </c>
      <c r="K101" s="14">
        <f>IF(OR($A101="",$G101=""),"",$G101-(IFERROR(INDEX('06-Precificacao'!$G$4:$G$123,MATCH($A101,'06-Precificacao'!$A$4:$A$123,0)),0)-IFERROR(INDEX('06-Precificacao'!$E$4:$E$123,MATCH($A101,'06-Precificacao'!$A$4:$A$123,0)),0)+IFERROR(INDEX('05-Financeiro'!$E$4:$E$123,MATCH($A101,'05-Financeiro'!$A$4:$A$123,0)),0))-($G101*'00-Parametros'!$C$9)-($G101*'00-Parametros'!$C$10)-IFERROR(INDEX('03-Marketing'!$C$4:$C$123,MATCH($A101,'03-Marketing'!$A$4:$A$123,0)),0)-($G101*'00-Parametros'!$C$12))</f>
        <v/>
      </c>
      <c r="L101" s="17">
        <f>IF(OR($A101="",$G101="",$G101=0),"",$K101/$G101)</f>
        <v/>
      </c>
    </row>
    <row r="102">
      <c r="A102" s="16" t="n"/>
      <c r="B102" s="5">
        <f>IF($A102="","",IFERROR(INDEX('01-Cadastro-Motos'!$B$4:$B$123,MATCH($A102,'01-Cadastro-Motos'!$A$4:$A$123,0)),""))</f>
        <v/>
      </c>
      <c r="C102" s="16" t="n"/>
      <c r="D102" s="23" t="n"/>
      <c r="E102" s="14">
        <f>IF($A102="","",IFERROR(INDEX('06-Precificacao'!$I$4:$I$123,MATCH($A102,'06-Precificacao'!$A$4:$A$123,0)),0))</f>
        <v/>
      </c>
      <c r="F102" s="14">
        <f>IF($A102="","",IFERROR(INDEX('06-Precificacao'!$K$4:$K$123,MATCH($A102,'06-Precificacao'!$A$4:$A$123,0)),0))</f>
        <v/>
      </c>
      <c r="G102" s="9" t="n"/>
      <c r="H102" s="14">
        <f>IF(OR($A102="",$G102=""),"",$E102-$G102)</f>
        <v/>
      </c>
      <c r="I102" s="17">
        <f>IF(OR($A102="",$G102="",$E102=0),"",$H102/$E102)</f>
        <v/>
      </c>
      <c r="J102" s="5">
        <f>IF(OR($A102="",$G102=""),"",IF($G102&lt;$F102,"SIM - abaixo do LP","Não"))</f>
        <v/>
      </c>
      <c r="K102" s="14">
        <f>IF(OR($A102="",$G102=""),"",$G102-(IFERROR(INDEX('06-Precificacao'!$G$4:$G$123,MATCH($A102,'06-Precificacao'!$A$4:$A$123,0)),0)-IFERROR(INDEX('06-Precificacao'!$E$4:$E$123,MATCH($A102,'06-Precificacao'!$A$4:$A$123,0)),0)+IFERROR(INDEX('05-Financeiro'!$E$4:$E$123,MATCH($A102,'05-Financeiro'!$A$4:$A$123,0)),0))-($G102*'00-Parametros'!$C$9)-($G102*'00-Parametros'!$C$10)-IFERROR(INDEX('03-Marketing'!$C$4:$C$123,MATCH($A102,'03-Marketing'!$A$4:$A$123,0)),0)-($G102*'00-Parametros'!$C$12))</f>
        <v/>
      </c>
      <c r="L102" s="17">
        <f>IF(OR($A102="",$G102="",$G102=0),"",$K102/$G102)</f>
        <v/>
      </c>
    </row>
    <row r="103">
      <c r="A103" s="16" t="n"/>
      <c r="B103" s="5">
        <f>IF($A103="","",IFERROR(INDEX('01-Cadastro-Motos'!$B$4:$B$123,MATCH($A103,'01-Cadastro-Motos'!$A$4:$A$123,0)),""))</f>
        <v/>
      </c>
      <c r="C103" s="16" t="n"/>
      <c r="D103" s="23" t="n"/>
      <c r="E103" s="14">
        <f>IF($A103="","",IFERROR(INDEX('06-Precificacao'!$I$4:$I$123,MATCH($A103,'06-Precificacao'!$A$4:$A$123,0)),0))</f>
        <v/>
      </c>
      <c r="F103" s="14">
        <f>IF($A103="","",IFERROR(INDEX('06-Precificacao'!$K$4:$K$123,MATCH($A103,'06-Precificacao'!$A$4:$A$123,0)),0))</f>
        <v/>
      </c>
      <c r="G103" s="9" t="n"/>
      <c r="H103" s="14">
        <f>IF(OR($A103="",$G103=""),"",$E103-$G103)</f>
        <v/>
      </c>
      <c r="I103" s="17">
        <f>IF(OR($A103="",$G103="",$E103=0),"",$H103/$E103)</f>
        <v/>
      </c>
      <c r="J103" s="5">
        <f>IF(OR($A103="",$G103=""),"",IF($G103&lt;$F103,"SIM - abaixo do LP","Não"))</f>
        <v/>
      </c>
      <c r="K103" s="14">
        <f>IF(OR($A103="",$G103=""),"",$G103-(IFERROR(INDEX('06-Precificacao'!$G$4:$G$123,MATCH($A103,'06-Precificacao'!$A$4:$A$123,0)),0)-IFERROR(INDEX('06-Precificacao'!$E$4:$E$123,MATCH($A103,'06-Precificacao'!$A$4:$A$123,0)),0)+IFERROR(INDEX('05-Financeiro'!$E$4:$E$123,MATCH($A103,'05-Financeiro'!$A$4:$A$123,0)),0))-($G103*'00-Parametros'!$C$9)-($G103*'00-Parametros'!$C$10)-IFERROR(INDEX('03-Marketing'!$C$4:$C$123,MATCH($A103,'03-Marketing'!$A$4:$A$123,0)),0)-($G103*'00-Parametros'!$C$12))</f>
        <v/>
      </c>
      <c r="L103" s="17">
        <f>IF(OR($A103="",$G103="",$G103=0),"",$K103/$G103)</f>
        <v/>
      </c>
    </row>
    <row r="104">
      <c r="A104" s="16" t="n"/>
      <c r="B104" s="5">
        <f>IF($A104="","",IFERROR(INDEX('01-Cadastro-Motos'!$B$4:$B$123,MATCH($A104,'01-Cadastro-Motos'!$A$4:$A$123,0)),""))</f>
        <v/>
      </c>
      <c r="C104" s="16" t="n"/>
      <c r="D104" s="23" t="n"/>
      <c r="E104" s="14">
        <f>IF($A104="","",IFERROR(INDEX('06-Precificacao'!$I$4:$I$123,MATCH($A104,'06-Precificacao'!$A$4:$A$123,0)),0))</f>
        <v/>
      </c>
      <c r="F104" s="14">
        <f>IF($A104="","",IFERROR(INDEX('06-Precificacao'!$K$4:$K$123,MATCH($A104,'06-Precificacao'!$A$4:$A$123,0)),0))</f>
        <v/>
      </c>
      <c r="G104" s="9" t="n"/>
      <c r="H104" s="14">
        <f>IF(OR($A104="",$G104=""),"",$E104-$G104)</f>
        <v/>
      </c>
      <c r="I104" s="17">
        <f>IF(OR($A104="",$G104="",$E104=0),"",$H104/$E104)</f>
        <v/>
      </c>
      <c r="J104" s="5">
        <f>IF(OR($A104="",$G104=""),"",IF($G104&lt;$F104,"SIM - abaixo do LP","Não"))</f>
        <v/>
      </c>
      <c r="K104" s="14">
        <f>IF(OR($A104="",$G104=""),"",$G104-(IFERROR(INDEX('06-Precificacao'!$G$4:$G$123,MATCH($A104,'06-Precificacao'!$A$4:$A$123,0)),0)-IFERROR(INDEX('06-Precificacao'!$E$4:$E$123,MATCH($A104,'06-Precificacao'!$A$4:$A$123,0)),0)+IFERROR(INDEX('05-Financeiro'!$E$4:$E$123,MATCH($A104,'05-Financeiro'!$A$4:$A$123,0)),0))-($G104*'00-Parametros'!$C$9)-($G104*'00-Parametros'!$C$10)-IFERROR(INDEX('03-Marketing'!$C$4:$C$123,MATCH($A104,'03-Marketing'!$A$4:$A$123,0)),0)-($G104*'00-Parametros'!$C$12))</f>
        <v/>
      </c>
      <c r="L104" s="17">
        <f>IF(OR($A104="",$G104="",$G104=0),"",$K104/$G104)</f>
        <v/>
      </c>
    </row>
    <row r="105">
      <c r="A105" s="16" t="n"/>
      <c r="B105" s="5">
        <f>IF($A105="","",IFERROR(INDEX('01-Cadastro-Motos'!$B$4:$B$123,MATCH($A105,'01-Cadastro-Motos'!$A$4:$A$123,0)),""))</f>
        <v/>
      </c>
      <c r="C105" s="16" t="n"/>
      <c r="D105" s="23" t="n"/>
      <c r="E105" s="14">
        <f>IF($A105="","",IFERROR(INDEX('06-Precificacao'!$I$4:$I$123,MATCH($A105,'06-Precificacao'!$A$4:$A$123,0)),0))</f>
        <v/>
      </c>
      <c r="F105" s="14">
        <f>IF($A105="","",IFERROR(INDEX('06-Precificacao'!$K$4:$K$123,MATCH($A105,'06-Precificacao'!$A$4:$A$123,0)),0))</f>
        <v/>
      </c>
      <c r="G105" s="9" t="n"/>
      <c r="H105" s="14">
        <f>IF(OR($A105="",$G105=""),"",$E105-$G105)</f>
        <v/>
      </c>
      <c r="I105" s="17">
        <f>IF(OR($A105="",$G105="",$E105=0),"",$H105/$E105)</f>
        <v/>
      </c>
      <c r="J105" s="5">
        <f>IF(OR($A105="",$G105=""),"",IF($G105&lt;$F105,"SIM - abaixo do LP","Não"))</f>
        <v/>
      </c>
      <c r="K105" s="14">
        <f>IF(OR($A105="",$G105=""),"",$G105-(IFERROR(INDEX('06-Precificacao'!$G$4:$G$123,MATCH($A105,'06-Precificacao'!$A$4:$A$123,0)),0)-IFERROR(INDEX('06-Precificacao'!$E$4:$E$123,MATCH($A105,'06-Precificacao'!$A$4:$A$123,0)),0)+IFERROR(INDEX('05-Financeiro'!$E$4:$E$123,MATCH($A105,'05-Financeiro'!$A$4:$A$123,0)),0))-($G105*'00-Parametros'!$C$9)-($G105*'00-Parametros'!$C$10)-IFERROR(INDEX('03-Marketing'!$C$4:$C$123,MATCH($A105,'03-Marketing'!$A$4:$A$123,0)),0)-($G105*'00-Parametros'!$C$12))</f>
        <v/>
      </c>
      <c r="L105" s="17">
        <f>IF(OR($A105="",$G105="",$G105=0),"",$K105/$G105)</f>
        <v/>
      </c>
    </row>
    <row r="106">
      <c r="A106" s="16" t="n"/>
      <c r="B106" s="5">
        <f>IF($A106="","",IFERROR(INDEX('01-Cadastro-Motos'!$B$4:$B$123,MATCH($A106,'01-Cadastro-Motos'!$A$4:$A$123,0)),""))</f>
        <v/>
      </c>
      <c r="C106" s="16" t="n"/>
      <c r="D106" s="23" t="n"/>
      <c r="E106" s="14">
        <f>IF($A106="","",IFERROR(INDEX('06-Precificacao'!$I$4:$I$123,MATCH($A106,'06-Precificacao'!$A$4:$A$123,0)),0))</f>
        <v/>
      </c>
      <c r="F106" s="14">
        <f>IF($A106="","",IFERROR(INDEX('06-Precificacao'!$K$4:$K$123,MATCH($A106,'06-Precificacao'!$A$4:$A$123,0)),0))</f>
        <v/>
      </c>
      <c r="G106" s="9" t="n"/>
      <c r="H106" s="14">
        <f>IF(OR($A106="",$G106=""),"",$E106-$G106)</f>
        <v/>
      </c>
      <c r="I106" s="17">
        <f>IF(OR($A106="",$G106="",$E106=0),"",$H106/$E106)</f>
        <v/>
      </c>
      <c r="J106" s="5">
        <f>IF(OR($A106="",$G106=""),"",IF($G106&lt;$F106,"SIM - abaixo do LP","Não"))</f>
        <v/>
      </c>
      <c r="K106" s="14">
        <f>IF(OR($A106="",$G106=""),"",$G106-(IFERROR(INDEX('06-Precificacao'!$G$4:$G$123,MATCH($A106,'06-Precificacao'!$A$4:$A$123,0)),0)-IFERROR(INDEX('06-Precificacao'!$E$4:$E$123,MATCH($A106,'06-Precificacao'!$A$4:$A$123,0)),0)+IFERROR(INDEX('05-Financeiro'!$E$4:$E$123,MATCH($A106,'05-Financeiro'!$A$4:$A$123,0)),0))-($G106*'00-Parametros'!$C$9)-($G106*'00-Parametros'!$C$10)-IFERROR(INDEX('03-Marketing'!$C$4:$C$123,MATCH($A106,'03-Marketing'!$A$4:$A$123,0)),0)-($G106*'00-Parametros'!$C$12))</f>
        <v/>
      </c>
      <c r="L106" s="17">
        <f>IF(OR($A106="",$G106="",$G106=0),"",$K106/$G106)</f>
        <v/>
      </c>
    </row>
    <row r="107">
      <c r="A107" s="16" t="n"/>
      <c r="B107" s="5">
        <f>IF($A107="","",IFERROR(INDEX('01-Cadastro-Motos'!$B$4:$B$123,MATCH($A107,'01-Cadastro-Motos'!$A$4:$A$123,0)),""))</f>
        <v/>
      </c>
      <c r="C107" s="16" t="n"/>
      <c r="D107" s="23" t="n"/>
      <c r="E107" s="14">
        <f>IF($A107="","",IFERROR(INDEX('06-Precificacao'!$I$4:$I$123,MATCH($A107,'06-Precificacao'!$A$4:$A$123,0)),0))</f>
        <v/>
      </c>
      <c r="F107" s="14">
        <f>IF($A107="","",IFERROR(INDEX('06-Precificacao'!$K$4:$K$123,MATCH($A107,'06-Precificacao'!$A$4:$A$123,0)),0))</f>
        <v/>
      </c>
      <c r="G107" s="9" t="n"/>
      <c r="H107" s="14">
        <f>IF(OR($A107="",$G107=""),"",$E107-$G107)</f>
        <v/>
      </c>
      <c r="I107" s="17">
        <f>IF(OR($A107="",$G107="",$E107=0),"",$H107/$E107)</f>
        <v/>
      </c>
      <c r="J107" s="5">
        <f>IF(OR($A107="",$G107=""),"",IF($G107&lt;$F107,"SIM - abaixo do LP","Não"))</f>
        <v/>
      </c>
      <c r="K107" s="14">
        <f>IF(OR($A107="",$G107=""),"",$G107-(IFERROR(INDEX('06-Precificacao'!$G$4:$G$123,MATCH($A107,'06-Precificacao'!$A$4:$A$123,0)),0)-IFERROR(INDEX('06-Precificacao'!$E$4:$E$123,MATCH($A107,'06-Precificacao'!$A$4:$A$123,0)),0)+IFERROR(INDEX('05-Financeiro'!$E$4:$E$123,MATCH($A107,'05-Financeiro'!$A$4:$A$123,0)),0))-($G107*'00-Parametros'!$C$9)-($G107*'00-Parametros'!$C$10)-IFERROR(INDEX('03-Marketing'!$C$4:$C$123,MATCH($A107,'03-Marketing'!$A$4:$A$123,0)),0)-($G107*'00-Parametros'!$C$12))</f>
        <v/>
      </c>
      <c r="L107" s="17">
        <f>IF(OR($A107="",$G107="",$G107=0),"",$K107/$G107)</f>
        <v/>
      </c>
    </row>
    <row r="108">
      <c r="A108" s="16" t="n"/>
      <c r="B108" s="5">
        <f>IF($A108="","",IFERROR(INDEX('01-Cadastro-Motos'!$B$4:$B$123,MATCH($A108,'01-Cadastro-Motos'!$A$4:$A$123,0)),""))</f>
        <v/>
      </c>
      <c r="C108" s="16" t="n"/>
      <c r="D108" s="23" t="n"/>
      <c r="E108" s="14">
        <f>IF($A108="","",IFERROR(INDEX('06-Precificacao'!$I$4:$I$123,MATCH($A108,'06-Precificacao'!$A$4:$A$123,0)),0))</f>
        <v/>
      </c>
      <c r="F108" s="14">
        <f>IF($A108="","",IFERROR(INDEX('06-Precificacao'!$K$4:$K$123,MATCH($A108,'06-Precificacao'!$A$4:$A$123,0)),0))</f>
        <v/>
      </c>
      <c r="G108" s="9" t="n"/>
      <c r="H108" s="14">
        <f>IF(OR($A108="",$G108=""),"",$E108-$G108)</f>
        <v/>
      </c>
      <c r="I108" s="17">
        <f>IF(OR($A108="",$G108="",$E108=0),"",$H108/$E108)</f>
        <v/>
      </c>
      <c r="J108" s="5">
        <f>IF(OR($A108="",$G108=""),"",IF($G108&lt;$F108,"SIM - abaixo do LP","Não"))</f>
        <v/>
      </c>
      <c r="K108" s="14">
        <f>IF(OR($A108="",$G108=""),"",$G108-(IFERROR(INDEX('06-Precificacao'!$G$4:$G$123,MATCH($A108,'06-Precificacao'!$A$4:$A$123,0)),0)-IFERROR(INDEX('06-Precificacao'!$E$4:$E$123,MATCH($A108,'06-Precificacao'!$A$4:$A$123,0)),0)+IFERROR(INDEX('05-Financeiro'!$E$4:$E$123,MATCH($A108,'05-Financeiro'!$A$4:$A$123,0)),0))-($G108*'00-Parametros'!$C$9)-($G108*'00-Parametros'!$C$10)-IFERROR(INDEX('03-Marketing'!$C$4:$C$123,MATCH($A108,'03-Marketing'!$A$4:$A$123,0)),0)-($G108*'00-Parametros'!$C$12))</f>
        <v/>
      </c>
      <c r="L108" s="17">
        <f>IF(OR($A108="",$G108="",$G108=0),"",$K108/$G108)</f>
        <v/>
      </c>
    </row>
    <row r="109">
      <c r="A109" s="16" t="n"/>
      <c r="B109" s="5">
        <f>IF($A109="","",IFERROR(INDEX('01-Cadastro-Motos'!$B$4:$B$123,MATCH($A109,'01-Cadastro-Motos'!$A$4:$A$123,0)),""))</f>
        <v/>
      </c>
      <c r="C109" s="16" t="n"/>
      <c r="D109" s="23" t="n"/>
      <c r="E109" s="14">
        <f>IF($A109="","",IFERROR(INDEX('06-Precificacao'!$I$4:$I$123,MATCH($A109,'06-Precificacao'!$A$4:$A$123,0)),0))</f>
        <v/>
      </c>
      <c r="F109" s="14">
        <f>IF($A109="","",IFERROR(INDEX('06-Precificacao'!$K$4:$K$123,MATCH($A109,'06-Precificacao'!$A$4:$A$123,0)),0))</f>
        <v/>
      </c>
      <c r="G109" s="9" t="n"/>
      <c r="H109" s="14">
        <f>IF(OR($A109="",$G109=""),"",$E109-$G109)</f>
        <v/>
      </c>
      <c r="I109" s="17">
        <f>IF(OR($A109="",$G109="",$E109=0),"",$H109/$E109)</f>
        <v/>
      </c>
      <c r="J109" s="5">
        <f>IF(OR($A109="",$G109=""),"",IF($G109&lt;$F109,"SIM - abaixo do LP","Não"))</f>
        <v/>
      </c>
      <c r="K109" s="14">
        <f>IF(OR($A109="",$G109=""),"",$G109-(IFERROR(INDEX('06-Precificacao'!$G$4:$G$123,MATCH($A109,'06-Precificacao'!$A$4:$A$123,0)),0)-IFERROR(INDEX('06-Precificacao'!$E$4:$E$123,MATCH($A109,'06-Precificacao'!$A$4:$A$123,0)),0)+IFERROR(INDEX('05-Financeiro'!$E$4:$E$123,MATCH($A109,'05-Financeiro'!$A$4:$A$123,0)),0))-($G109*'00-Parametros'!$C$9)-($G109*'00-Parametros'!$C$10)-IFERROR(INDEX('03-Marketing'!$C$4:$C$123,MATCH($A109,'03-Marketing'!$A$4:$A$123,0)),0)-($G109*'00-Parametros'!$C$12))</f>
        <v/>
      </c>
      <c r="L109" s="17">
        <f>IF(OR($A109="",$G109="",$G109=0),"",$K109/$G109)</f>
        <v/>
      </c>
    </row>
    <row r="110">
      <c r="A110" s="16" t="n"/>
      <c r="B110" s="5">
        <f>IF($A110="","",IFERROR(INDEX('01-Cadastro-Motos'!$B$4:$B$123,MATCH($A110,'01-Cadastro-Motos'!$A$4:$A$123,0)),""))</f>
        <v/>
      </c>
      <c r="C110" s="16" t="n"/>
      <c r="D110" s="23" t="n"/>
      <c r="E110" s="14">
        <f>IF($A110="","",IFERROR(INDEX('06-Precificacao'!$I$4:$I$123,MATCH($A110,'06-Precificacao'!$A$4:$A$123,0)),0))</f>
        <v/>
      </c>
      <c r="F110" s="14">
        <f>IF($A110="","",IFERROR(INDEX('06-Precificacao'!$K$4:$K$123,MATCH($A110,'06-Precificacao'!$A$4:$A$123,0)),0))</f>
        <v/>
      </c>
      <c r="G110" s="9" t="n"/>
      <c r="H110" s="14">
        <f>IF(OR($A110="",$G110=""),"",$E110-$G110)</f>
        <v/>
      </c>
      <c r="I110" s="17">
        <f>IF(OR($A110="",$G110="",$E110=0),"",$H110/$E110)</f>
        <v/>
      </c>
      <c r="J110" s="5">
        <f>IF(OR($A110="",$G110=""),"",IF($G110&lt;$F110,"SIM - abaixo do LP","Não"))</f>
        <v/>
      </c>
      <c r="K110" s="14">
        <f>IF(OR($A110="",$G110=""),"",$G110-(IFERROR(INDEX('06-Precificacao'!$G$4:$G$123,MATCH($A110,'06-Precificacao'!$A$4:$A$123,0)),0)-IFERROR(INDEX('06-Precificacao'!$E$4:$E$123,MATCH($A110,'06-Precificacao'!$A$4:$A$123,0)),0)+IFERROR(INDEX('05-Financeiro'!$E$4:$E$123,MATCH($A110,'05-Financeiro'!$A$4:$A$123,0)),0))-($G110*'00-Parametros'!$C$9)-($G110*'00-Parametros'!$C$10)-IFERROR(INDEX('03-Marketing'!$C$4:$C$123,MATCH($A110,'03-Marketing'!$A$4:$A$123,0)),0)-($G110*'00-Parametros'!$C$12))</f>
        <v/>
      </c>
      <c r="L110" s="17">
        <f>IF(OR($A110="",$G110="",$G110=0),"",$K110/$G110)</f>
        <v/>
      </c>
    </row>
    <row r="111">
      <c r="A111" s="16" t="n"/>
      <c r="B111" s="5">
        <f>IF($A111="","",IFERROR(INDEX('01-Cadastro-Motos'!$B$4:$B$123,MATCH($A111,'01-Cadastro-Motos'!$A$4:$A$123,0)),""))</f>
        <v/>
      </c>
      <c r="C111" s="16" t="n"/>
      <c r="D111" s="23" t="n"/>
      <c r="E111" s="14">
        <f>IF($A111="","",IFERROR(INDEX('06-Precificacao'!$I$4:$I$123,MATCH($A111,'06-Precificacao'!$A$4:$A$123,0)),0))</f>
        <v/>
      </c>
      <c r="F111" s="14">
        <f>IF($A111="","",IFERROR(INDEX('06-Precificacao'!$K$4:$K$123,MATCH($A111,'06-Precificacao'!$A$4:$A$123,0)),0))</f>
        <v/>
      </c>
      <c r="G111" s="9" t="n"/>
      <c r="H111" s="14">
        <f>IF(OR($A111="",$G111=""),"",$E111-$G111)</f>
        <v/>
      </c>
      <c r="I111" s="17">
        <f>IF(OR($A111="",$G111="",$E111=0),"",$H111/$E111)</f>
        <v/>
      </c>
      <c r="J111" s="5">
        <f>IF(OR($A111="",$G111=""),"",IF($G111&lt;$F111,"SIM - abaixo do LP","Não"))</f>
        <v/>
      </c>
      <c r="K111" s="14">
        <f>IF(OR($A111="",$G111=""),"",$G111-(IFERROR(INDEX('06-Precificacao'!$G$4:$G$123,MATCH($A111,'06-Precificacao'!$A$4:$A$123,0)),0)-IFERROR(INDEX('06-Precificacao'!$E$4:$E$123,MATCH($A111,'06-Precificacao'!$A$4:$A$123,0)),0)+IFERROR(INDEX('05-Financeiro'!$E$4:$E$123,MATCH($A111,'05-Financeiro'!$A$4:$A$123,0)),0))-($G111*'00-Parametros'!$C$9)-($G111*'00-Parametros'!$C$10)-IFERROR(INDEX('03-Marketing'!$C$4:$C$123,MATCH($A111,'03-Marketing'!$A$4:$A$123,0)),0)-($G111*'00-Parametros'!$C$12))</f>
        <v/>
      </c>
      <c r="L111" s="17">
        <f>IF(OR($A111="",$G111="",$G111=0),"",$K111/$G111)</f>
        <v/>
      </c>
    </row>
    <row r="112">
      <c r="A112" s="16" t="n"/>
      <c r="B112" s="5">
        <f>IF($A112="","",IFERROR(INDEX('01-Cadastro-Motos'!$B$4:$B$123,MATCH($A112,'01-Cadastro-Motos'!$A$4:$A$123,0)),""))</f>
        <v/>
      </c>
      <c r="C112" s="16" t="n"/>
      <c r="D112" s="23" t="n"/>
      <c r="E112" s="14">
        <f>IF($A112="","",IFERROR(INDEX('06-Precificacao'!$I$4:$I$123,MATCH($A112,'06-Precificacao'!$A$4:$A$123,0)),0))</f>
        <v/>
      </c>
      <c r="F112" s="14">
        <f>IF($A112="","",IFERROR(INDEX('06-Precificacao'!$K$4:$K$123,MATCH($A112,'06-Precificacao'!$A$4:$A$123,0)),0))</f>
        <v/>
      </c>
      <c r="G112" s="9" t="n"/>
      <c r="H112" s="14">
        <f>IF(OR($A112="",$G112=""),"",$E112-$G112)</f>
        <v/>
      </c>
      <c r="I112" s="17">
        <f>IF(OR($A112="",$G112="",$E112=0),"",$H112/$E112)</f>
        <v/>
      </c>
      <c r="J112" s="5">
        <f>IF(OR($A112="",$G112=""),"",IF($G112&lt;$F112,"SIM - abaixo do LP","Não"))</f>
        <v/>
      </c>
      <c r="K112" s="14">
        <f>IF(OR($A112="",$G112=""),"",$G112-(IFERROR(INDEX('06-Precificacao'!$G$4:$G$123,MATCH($A112,'06-Precificacao'!$A$4:$A$123,0)),0)-IFERROR(INDEX('06-Precificacao'!$E$4:$E$123,MATCH($A112,'06-Precificacao'!$A$4:$A$123,0)),0)+IFERROR(INDEX('05-Financeiro'!$E$4:$E$123,MATCH($A112,'05-Financeiro'!$A$4:$A$123,0)),0))-($G112*'00-Parametros'!$C$9)-($G112*'00-Parametros'!$C$10)-IFERROR(INDEX('03-Marketing'!$C$4:$C$123,MATCH($A112,'03-Marketing'!$A$4:$A$123,0)),0)-($G112*'00-Parametros'!$C$12))</f>
        <v/>
      </c>
      <c r="L112" s="17">
        <f>IF(OR($A112="",$G112="",$G112=0),"",$K112/$G112)</f>
        <v/>
      </c>
    </row>
    <row r="113">
      <c r="A113" s="16" t="n"/>
      <c r="B113" s="5">
        <f>IF($A113="","",IFERROR(INDEX('01-Cadastro-Motos'!$B$4:$B$123,MATCH($A113,'01-Cadastro-Motos'!$A$4:$A$123,0)),""))</f>
        <v/>
      </c>
      <c r="C113" s="16" t="n"/>
      <c r="D113" s="23" t="n"/>
      <c r="E113" s="14">
        <f>IF($A113="","",IFERROR(INDEX('06-Precificacao'!$I$4:$I$123,MATCH($A113,'06-Precificacao'!$A$4:$A$123,0)),0))</f>
        <v/>
      </c>
      <c r="F113" s="14">
        <f>IF($A113="","",IFERROR(INDEX('06-Precificacao'!$K$4:$K$123,MATCH($A113,'06-Precificacao'!$A$4:$A$123,0)),0))</f>
        <v/>
      </c>
      <c r="G113" s="9" t="n"/>
      <c r="H113" s="14">
        <f>IF(OR($A113="",$G113=""),"",$E113-$G113)</f>
        <v/>
      </c>
      <c r="I113" s="17">
        <f>IF(OR($A113="",$G113="",$E113=0),"",$H113/$E113)</f>
        <v/>
      </c>
      <c r="J113" s="5">
        <f>IF(OR($A113="",$G113=""),"",IF($G113&lt;$F113,"SIM - abaixo do LP","Não"))</f>
        <v/>
      </c>
      <c r="K113" s="14">
        <f>IF(OR($A113="",$G113=""),"",$G113-(IFERROR(INDEX('06-Precificacao'!$G$4:$G$123,MATCH($A113,'06-Precificacao'!$A$4:$A$123,0)),0)-IFERROR(INDEX('06-Precificacao'!$E$4:$E$123,MATCH($A113,'06-Precificacao'!$A$4:$A$123,0)),0)+IFERROR(INDEX('05-Financeiro'!$E$4:$E$123,MATCH($A113,'05-Financeiro'!$A$4:$A$123,0)),0))-($G113*'00-Parametros'!$C$9)-($G113*'00-Parametros'!$C$10)-IFERROR(INDEX('03-Marketing'!$C$4:$C$123,MATCH($A113,'03-Marketing'!$A$4:$A$123,0)),0)-($G113*'00-Parametros'!$C$12))</f>
        <v/>
      </c>
      <c r="L113" s="17">
        <f>IF(OR($A113="",$G113="",$G113=0),"",$K113/$G113)</f>
        <v/>
      </c>
    </row>
    <row r="114">
      <c r="A114" s="16" t="n"/>
      <c r="B114" s="5">
        <f>IF($A114="","",IFERROR(INDEX('01-Cadastro-Motos'!$B$4:$B$123,MATCH($A114,'01-Cadastro-Motos'!$A$4:$A$123,0)),""))</f>
        <v/>
      </c>
      <c r="C114" s="16" t="n"/>
      <c r="D114" s="23" t="n"/>
      <c r="E114" s="14">
        <f>IF($A114="","",IFERROR(INDEX('06-Precificacao'!$I$4:$I$123,MATCH($A114,'06-Precificacao'!$A$4:$A$123,0)),0))</f>
        <v/>
      </c>
      <c r="F114" s="14">
        <f>IF($A114="","",IFERROR(INDEX('06-Precificacao'!$K$4:$K$123,MATCH($A114,'06-Precificacao'!$A$4:$A$123,0)),0))</f>
        <v/>
      </c>
      <c r="G114" s="9" t="n"/>
      <c r="H114" s="14">
        <f>IF(OR($A114="",$G114=""),"",$E114-$G114)</f>
        <v/>
      </c>
      <c r="I114" s="17">
        <f>IF(OR($A114="",$G114="",$E114=0),"",$H114/$E114)</f>
        <v/>
      </c>
      <c r="J114" s="5">
        <f>IF(OR($A114="",$G114=""),"",IF($G114&lt;$F114,"SIM - abaixo do LP","Não"))</f>
        <v/>
      </c>
      <c r="K114" s="14">
        <f>IF(OR($A114="",$G114=""),"",$G114-(IFERROR(INDEX('06-Precificacao'!$G$4:$G$123,MATCH($A114,'06-Precificacao'!$A$4:$A$123,0)),0)-IFERROR(INDEX('06-Precificacao'!$E$4:$E$123,MATCH($A114,'06-Precificacao'!$A$4:$A$123,0)),0)+IFERROR(INDEX('05-Financeiro'!$E$4:$E$123,MATCH($A114,'05-Financeiro'!$A$4:$A$123,0)),0))-($G114*'00-Parametros'!$C$9)-($G114*'00-Parametros'!$C$10)-IFERROR(INDEX('03-Marketing'!$C$4:$C$123,MATCH($A114,'03-Marketing'!$A$4:$A$123,0)),0)-($G114*'00-Parametros'!$C$12))</f>
        <v/>
      </c>
      <c r="L114" s="17">
        <f>IF(OR($A114="",$G114="",$G114=0),"",$K114/$G114)</f>
        <v/>
      </c>
    </row>
    <row r="115">
      <c r="A115" s="16" t="n"/>
      <c r="B115" s="5">
        <f>IF($A115="","",IFERROR(INDEX('01-Cadastro-Motos'!$B$4:$B$123,MATCH($A115,'01-Cadastro-Motos'!$A$4:$A$123,0)),""))</f>
        <v/>
      </c>
      <c r="C115" s="16" t="n"/>
      <c r="D115" s="23" t="n"/>
      <c r="E115" s="14">
        <f>IF($A115="","",IFERROR(INDEX('06-Precificacao'!$I$4:$I$123,MATCH($A115,'06-Precificacao'!$A$4:$A$123,0)),0))</f>
        <v/>
      </c>
      <c r="F115" s="14">
        <f>IF($A115="","",IFERROR(INDEX('06-Precificacao'!$K$4:$K$123,MATCH($A115,'06-Precificacao'!$A$4:$A$123,0)),0))</f>
        <v/>
      </c>
      <c r="G115" s="9" t="n"/>
      <c r="H115" s="14">
        <f>IF(OR($A115="",$G115=""),"",$E115-$G115)</f>
        <v/>
      </c>
      <c r="I115" s="17">
        <f>IF(OR($A115="",$G115="",$E115=0),"",$H115/$E115)</f>
        <v/>
      </c>
      <c r="J115" s="5">
        <f>IF(OR($A115="",$G115=""),"",IF($G115&lt;$F115,"SIM - abaixo do LP","Não"))</f>
        <v/>
      </c>
      <c r="K115" s="14">
        <f>IF(OR($A115="",$G115=""),"",$G115-(IFERROR(INDEX('06-Precificacao'!$G$4:$G$123,MATCH($A115,'06-Precificacao'!$A$4:$A$123,0)),0)-IFERROR(INDEX('06-Precificacao'!$E$4:$E$123,MATCH($A115,'06-Precificacao'!$A$4:$A$123,0)),0)+IFERROR(INDEX('05-Financeiro'!$E$4:$E$123,MATCH($A115,'05-Financeiro'!$A$4:$A$123,0)),0))-($G115*'00-Parametros'!$C$9)-($G115*'00-Parametros'!$C$10)-IFERROR(INDEX('03-Marketing'!$C$4:$C$123,MATCH($A115,'03-Marketing'!$A$4:$A$123,0)),0)-($G115*'00-Parametros'!$C$12))</f>
        <v/>
      </c>
      <c r="L115" s="17">
        <f>IF(OR($A115="",$G115="",$G115=0),"",$K115/$G115)</f>
        <v/>
      </c>
    </row>
    <row r="116">
      <c r="A116" s="16" t="n"/>
      <c r="B116" s="5">
        <f>IF($A116="","",IFERROR(INDEX('01-Cadastro-Motos'!$B$4:$B$123,MATCH($A116,'01-Cadastro-Motos'!$A$4:$A$123,0)),""))</f>
        <v/>
      </c>
      <c r="C116" s="16" t="n"/>
      <c r="D116" s="23" t="n"/>
      <c r="E116" s="14">
        <f>IF($A116="","",IFERROR(INDEX('06-Precificacao'!$I$4:$I$123,MATCH($A116,'06-Precificacao'!$A$4:$A$123,0)),0))</f>
        <v/>
      </c>
      <c r="F116" s="14">
        <f>IF($A116="","",IFERROR(INDEX('06-Precificacao'!$K$4:$K$123,MATCH($A116,'06-Precificacao'!$A$4:$A$123,0)),0))</f>
        <v/>
      </c>
      <c r="G116" s="9" t="n"/>
      <c r="H116" s="14">
        <f>IF(OR($A116="",$G116=""),"",$E116-$G116)</f>
        <v/>
      </c>
      <c r="I116" s="17">
        <f>IF(OR($A116="",$G116="",$E116=0),"",$H116/$E116)</f>
        <v/>
      </c>
      <c r="J116" s="5">
        <f>IF(OR($A116="",$G116=""),"",IF($G116&lt;$F116,"SIM - abaixo do LP","Não"))</f>
        <v/>
      </c>
      <c r="K116" s="14">
        <f>IF(OR($A116="",$G116=""),"",$G116-(IFERROR(INDEX('06-Precificacao'!$G$4:$G$123,MATCH($A116,'06-Precificacao'!$A$4:$A$123,0)),0)-IFERROR(INDEX('06-Precificacao'!$E$4:$E$123,MATCH($A116,'06-Precificacao'!$A$4:$A$123,0)),0)+IFERROR(INDEX('05-Financeiro'!$E$4:$E$123,MATCH($A116,'05-Financeiro'!$A$4:$A$123,0)),0))-($G116*'00-Parametros'!$C$9)-($G116*'00-Parametros'!$C$10)-IFERROR(INDEX('03-Marketing'!$C$4:$C$123,MATCH($A116,'03-Marketing'!$A$4:$A$123,0)),0)-($G116*'00-Parametros'!$C$12))</f>
        <v/>
      </c>
      <c r="L116" s="17">
        <f>IF(OR($A116="",$G116="",$G116=0),"",$K116/$G116)</f>
        <v/>
      </c>
    </row>
    <row r="117">
      <c r="A117" s="16" t="n"/>
      <c r="B117" s="5">
        <f>IF($A117="","",IFERROR(INDEX('01-Cadastro-Motos'!$B$4:$B$123,MATCH($A117,'01-Cadastro-Motos'!$A$4:$A$123,0)),""))</f>
        <v/>
      </c>
      <c r="C117" s="16" t="n"/>
      <c r="D117" s="23" t="n"/>
      <c r="E117" s="14">
        <f>IF($A117="","",IFERROR(INDEX('06-Precificacao'!$I$4:$I$123,MATCH($A117,'06-Precificacao'!$A$4:$A$123,0)),0))</f>
        <v/>
      </c>
      <c r="F117" s="14">
        <f>IF($A117="","",IFERROR(INDEX('06-Precificacao'!$K$4:$K$123,MATCH($A117,'06-Precificacao'!$A$4:$A$123,0)),0))</f>
        <v/>
      </c>
      <c r="G117" s="9" t="n"/>
      <c r="H117" s="14">
        <f>IF(OR($A117="",$G117=""),"",$E117-$G117)</f>
        <v/>
      </c>
      <c r="I117" s="17">
        <f>IF(OR($A117="",$G117="",$E117=0),"",$H117/$E117)</f>
        <v/>
      </c>
      <c r="J117" s="5">
        <f>IF(OR($A117="",$G117=""),"",IF($G117&lt;$F117,"SIM - abaixo do LP","Não"))</f>
        <v/>
      </c>
      <c r="K117" s="14">
        <f>IF(OR($A117="",$G117=""),"",$G117-(IFERROR(INDEX('06-Precificacao'!$G$4:$G$123,MATCH($A117,'06-Precificacao'!$A$4:$A$123,0)),0)-IFERROR(INDEX('06-Precificacao'!$E$4:$E$123,MATCH($A117,'06-Precificacao'!$A$4:$A$123,0)),0)+IFERROR(INDEX('05-Financeiro'!$E$4:$E$123,MATCH($A117,'05-Financeiro'!$A$4:$A$123,0)),0))-($G117*'00-Parametros'!$C$9)-($G117*'00-Parametros'!$C$10)-IFERROR(INDEX('03-Marketing'!$C$4:$C$123,MATCH($A117,'03-Marketing'!$A$4:$A$123,0)),0)-($G117*'00-Parametros'!$C$12))</f>
        <v/>
      </c>
      <c r="L117" s="17">
        <f>IF(OR($A117="",$G117="",$G117=0),"",$K117/$G117)</f>
        <v/>
      </c>
    </row>
    <row r="118">
      <c r="A118" s="16" t="n"/>
      <c r="B118" s="5">
        <f>IF($A118="","",IFERROR(INDEX('01-Cadastro-Motos'!$B$4:$B$123,MATCH($A118,'01-Cadastro-Motos'!$A$4:$A$123,0)),""))</f>
        <v/>
      </c>
      <c r="C118" s="16" t="n"/>
      <c r="D118" s="23" t="n"/>
      <c r="E118" s="14">
        <f>IF($A118="","",IFERROR(INDEX('06-Precificacao'!$I$4:$I$123,MATCH($A118,'06-Precificacao'!$A$4:$A$123,0)),0))</f>
        <v/>
      </c>
      <c r="F118" s="14">
        <f>IF($A118="","",IFERROR(INDEX('06-Precificacao'!$K$4:$K$123,MATCH($A118,'06-Precificacao'!$A$4:$A$123,0)),0))</f>
        <v/>
      </c>
      <c r="G118" s="9" t="n"/>
      <c r="H118" s="14">
        <f>IF(OR($A118="",$G118=""),"",$E118-$G118)</f>
        <v/>
      </c>
      <c r="I118" s="17">
        <f>IF(OR($A118="",$G118="",$E118=0),"",$H118/$E118)</f>
        <v/>
      </c>
      <c r="J118" s="5">
        <f>IF(OR($A118="",$G118=""),"",IF($G118&lt;$F118,"SIM - abaixo do LP","Não"))</f>
        <v/>
      </c>
      <c r="K118" s="14">
        <f>IF(OR($A118="",$G118=""),"",$G118-(IFERROR(INDEX('06-Precificacao'!$G$4:$G$123,MATCH($A118,'06-Precificacao'!$A$4:$A$123,0)),0)-IFERROR(INDEX('06-Precificacao'!$E$4:$E$123,MATCH($A118,'06-Precificacao'!$A$4:$A$123,0)),0)+IFERROR(INDEX('05-Financeiro'!$E$4:$E$123,MATCH($A118,'05-Financeiro'!$A$4:$A$123,0)),0))-($G118*'00-Parametros'!$C$9)-($G118*'00-Parametros'!$C$10)-IFERROR(INDEX('03-Marketing'!$C$4:$C$123,MATCH($A118,'03-Marketing'!$A$4:$A$123,0)),0)-($G118*'00-Parametros'!$C$12))</f>
        <v/>
      </c>
      <c r="L118" s="17">
        <f>IF(OR($A118="",$G118="",$G118=0),"",$K118/$G118)</f>
        <v/>
      </c>
    </row>
    <row r="119">
      <c r="A119" s="16" t="n"/>
      <c r="B119" s="5">
        <f>IF($A119="","",IFERROR(INDEX('01-Cadastro-Motos'!$B$4:$B$123,MATCH($A119,'01-Cadastro-Motos'!$A$4:$A$123,0)),""))</f>
        <v/>
      </c>
      <c r="C119" s="16" t="n"/>
      <c r="D119" s="23" t="n"/>
      <c r="E119" s="14">
        <f>IF($A119="","",IFERROR(INDEX('06-Precificacao'!$I$4:$I$123,MATCH($A119,'06-Precificacao'!$A$4:$A$123,0)),0))</f>
        <v/>
      </c>
      <c r="F119" s="14">
        <f>IF($A119="","",IFERROR(INDEX('06-Precificacao'!$K$4:$K$123,MATCH($A119,'06-Precificacao'!$A$4:$A$123,0)),0))</f>
        <v/>
      </c>
      <c r="G119" s="9" t="n"/>
      <c r="H119" s="14">
        <f>IF(OR($A119="",$G119=""),"",$E119-$G119)</f>
        <v/>
      </c>
      <c r="I119" s="17">
        <f>IF(OR($A119="",$G119="",$E119=0),"",$H119/$E119)</f>
        <v/>
      </c>
      <c r="J119" s="5">
        <f>IF(OR($A119="",$G119=""),"",IF($G119&lt;$F119,"SIM - abaixo do LP","Não"))</f>
        <v/>
      </c>
      <c r="K119" s="14">
        <f>IF(OR($A119="",$G119=""),"",$G119-(IFERROR(INDEX('06-Precificacao'!$G$4:$G$123,MATCH($A119,'06-Precificacao'!$A$4:$A$123,0)),0)-IFERROR(INDEX('06-Precificacao'!$E$4:$E$123,MATCH($A119,'06-Precificacao'!$A$4:$A$123,0)),0)+IFERROR(INDEX('05-Financeiro'!$E$4:$E$123,MATCH($A119,'05-Financeiro'!$A$4:$A$123,0)),0))-($G119*'00-Parametros'!$C$9)-($G119*'00-Parametros'!$C$10)-IFERROR(INDEX('03-Marketing'!$C$4:$C$123,MATCH($A119,'03-Marketing'!$A$4:$A$123,0)),0)-($G119*'00-Parametros'!$C$12))</f>
        <v/>
      </c>
      <c r="L119" s="17">
        <f>IF(OR($A119="",$G119="",$G119=0),"",$K119/$G119)</f>
        <v/>
      </c>
    </row>
    <row r="120">
      <c r="A120" s="16" t="n"/>
      <c r="B120" s="5">
        <f>IF($A120="","",IFERROR(INDEX('01-Cadastro-Motos'!$B$4:$B$123,MATCH($A120,'01-Cadastro-Motos'!$A$4:$A$123,0)),""))</f>
        <v/>
      </c>
      <c r="C120" s="16" t="n"/>
      <c r="D120" s="23" t="n"/>
      <c r="E120" s="14">
        <f>IF($A120="","",IFERROR(INDEX('06-Precificacao'!$I$4:$I$123,MATCH($A120,'06-Precificacao'!$A$4:$A$123,0)),0))</f>
        <v/>
      </c>
      <c r="F120" s="14">
        <f>IF($A120="","",IFERROR(INDEX('06-Precificacao'!$K$4:$K$123,MATCH($A120,'06-Precificacao'!$A$4:$A$123,0)),0))</f>
        <v/>
      </c>
      <c r="G120" s="9" t="n"/>
      <c r="H120" s="14">
        <f>IF(OR($A120="",$G120=""),"",$E120-$G120)</f>
        <v/>
      </c>
      <c r="I120" s="17">
        <f>IF(OR($A120="",$G120="",$E120=0),"",$H120/$E120)</f>
        <v/>
      </c>
      <c r="J120" s="5">
        <f>IF(OR($A120="",$G120=""),"",IF($G120&lt;$F120,"SIM - abaixo do LP","Não"))</f>
        <v/>
      </c>
      <c r="K120" s="14">
        <f>IF(OR($A120="",$G120=""),"",$G120-(IFERROR(INDEX('06-Precificacao'!$G$4:$G$123,MATCH($A120,'06-Precificacao'!$A$4:$A$123,0)),0)-IFERROR(INDEX('06-Precificacao'!$E$4:$E$123,MATCH($A120,'06-Precificacao'!$A$4:$A$123,0)),0)+IFERROR(INDEX('05-Financeiro'!$E$4:$E$123,MATCH($A120,'05-Financeiro'!$A$4:$A$123,0)),0))-($G120*'00-Parametros'!$C$9)-($G120*'00-Parametros'!$C$10)-IFERROR(INDEX('03-Marketing'!$C$4:$C$123,MATCH($A120,'03-Marketing'!$A$4:$A$123,0)),0)-($G120*'00-Parametros'!$C$12))</f>
        <v/>
      </c>
      <c r="L120" s="17">
        <f>IF(OR($A120="",$G120="",$G120=0),"",$K120/$G120)</f>
        <v/>
      </c>
    </row>
    <row r="121">
      <c r="A121" s="16" t="n"/>
      <c r="B121" s="5">
        <f>IF($A121="","",IFERROR(INDEX('01-Cadastro-Motos'!$B$4:$B$123,MATCH($A121,'01-Cadastro-Motos'!$A$4:$A$123,0)),""))</f>
        <v/>
      </c>
      <c r="C121" s="16" t="n"/>
      <c r="D121" s="23" t="n"/>
      <c r="E121" s="14">
        <f>IF($A121="","",IFERROR(INDEX('06-Precificacao'!$I$4:$I$123,MATCH($A121,'06-Precificacao'!$A$4:$A$123,0)),0))</f>
        <v/>
      </c>
      <c r="F121" s="14">
        <f>IF($A121="","",IFERROR(INDEX('06-Precificacao'!$K$4:$K$123,MATCH($A121,'06-Precificacao'!$A$4:$A$123,0)),0))</f>
        <v/>
      </c>
      <c r="G121" s="9" t="n"/>
      <c r="H121" s="14">
        <f>IF(OR($A121="",$G121=""),"",$E121-$G121)</f>
        <v/>
      </c>
      <c r="I121" s="17">
        <f>IF(OR($A121="",$G121="",$E121=0),"",$H121/$E121)</f>
        <v/>
      </c>
      <c r="J121" s="5">
        <f>IF(OR($A121="",$G121=""),"",IF($G121&lt;$F121,"SIM - abaixo do LP","Não"))</f>
        <v/>
      </c>
      <c r="K121" s="14">
        <f>IF(OR($A121="",$G121=""),"",$G121-(IFERROR(INDEX('06-Precificacao'!$G$4:$G$123,MATCH($A121,'06-Precificacao'!$A$4:$A$123,0)),0)-IFERROR(INDEX('06-Precificacao'!$E$4:$E$123,MATCH($A121,'06-Precificacao'!$A$4:$A$123,0)),0)+IFERROR(INDEX('05-Financeiro'!$E$4:$E$123,MATCH($A121,'05-Financeiro'!$A$4:$A$123,0)),0))-($G121*'00-Parametros'!$C$9)-($G121*'00-Parametros'!$C$10)-IFERROR(INDEX('03-Marketing'!$C$4:$C$123,MATCH($A121,'03-Marketing'!$A$4:$A$123,0)),0)-($G121*'00-Parametros'!$C$12))</f>
        <v/>
      </c>
      <c r="L121" s="17">
        <f>IF(OR($A121="",$G121="",$G121=0),"",$K121/$G121)</f>
        <v/>
      </c>
    </row>
    <row r="122">
      <c r="A122" s="16" t="n"/>
      <c r="B122" s="5">
        <f>IF($A122="","",IFERROR(INDEX('01-Cadastro-Motos'!$B$4:$B$123,MATCH($A122,'01-Cadastro-Motos'!$A$4:$A$123,0)),""))</f>
        <v/>
      </c>
      <c r="C122" s="16" t="n"/>
      <c r="D122" s="23" t="n"/>
      <c r="E122" s="14">
        <f>IF($A122="","",IFERROR(INDEX('06-Precificacao'!$I$4:$I$123,MATCH($A122,'06-Precificacao'!$A$4:$A$123,0)),0))</f>
        <v/>
      </c>
      <c r="F122" s="14">
        <f>IF($A122="","",IFERROR(INDEX('06-Precificacao'!$K$4:$K$123,MATCH($A122,'06-Precificacao'!$A$4:$A$123,0)),0))</f>
        <v/>
      </c>
      <c r="G122" s="9" t="n"/>
      <c r="H122" s="14">
        <f>IF(OR($A122="",$G122=""),"",$E122-$G122)</f>
        <v/>
      </c>
      <c r="I122" s="17">
        <f>IF(OR($A122="",$G122="",$E122=0),"",$H122/$E122)</f>
        <v/>
      </c>
      <c r="J122" s="5">
        <f>IF(OR($A122="",$G122=""),"",IF($G122&lt;$F122,"SIM - abaixo do LP","Não"))</f>
        <v/>
      </c>
      <c r="K122" s="14">
        <f>IF(OR($A122="",$G122=""),"",$G122-(IFERROR(INDEX('06-Precificacao'!$G$4:$G$123,MATCH($A122,'06-Precificacao'!$A$4:$A$123,0)),0)-IFERROR(INDEX('06-Precificacao'!$E$4:$E$123,MATCH($A122,'06-Precificacao'!$A$4:$A$123,0)),0)+IFERROR(INDEX('05-Financeiro'!$E$4:$E$123,MATCH($A122,'05-Financeiro'!$A$4:$A$123,0)),0))-($G122*'00-Parametros'!$C$9)-($G122*'00-Parametros'!$C$10)-IFERROR(INDEX('03-Marketing'!$C$4:$C$123,MATCH($A122,'03-Marketing'!$A$4:$A$123,0)),0)-($G122*'00-Parametros'!$C$12))</f>
        <v/>
      </c>
      <c r="L122" s="17">
        <f>IF(OR($A122="",$G122="",$G122=0),"",$K122/$G122)</f>
        <v/>
      </c>
    </row>
    <row r="123">
      <c r="A123" s="16" t="n"/>
      <c r="B123" s="5">
        <f>IF($A123="","",IFERROR(INDEX('01-Cadastro-Motos'!$B$4:$B$123,MATCH($A123,'01-Cadastro-Motos'!$A$4:$A$123,0)),""))</f>
        <v/>
      </c>
      <c r="C123" s="16" t="n"/>
      <c r="D123" s="23" t="n"/>
      <c r="E123" s="14">
        <f>IF($A123="","",IFERROR(INDEX('06-Precificacao'!$I$4:$I$123,MATCH($A123,'06-Precificacao'!$A$4:$A$123,0)),0))</f>
        <v/>
      </c>
      <c r="F123" s="14">
        <f>IF($A123="","",IFERROR(INDEX('06-Precificacao'!$K$4:$K$123,MATCH($A123,'06-Precificacao'!$A$4:$A$123,0)),0))</f>
        <v/>
      </c>
      <c r="G123" s="9" t="n"/>
      <c r="H123" s="14">
        <f>IF(OR($A123="",$G123=""),"",$E123-$G123)</f>
        <v/>
      </c>
      <c r="I123" s="17">
        <f>IF(OR($A123="",$G123="",$E123=0),"",$H123/$E123)</f>
        <v/>
      </c>
      <c r="J123" s="5">
        <f>IF(OR($A123="",$G123=""),"",IF($G123&lt;$F123,"SIM - abaixo do LP","Não"))</f>
        <v/>
      </c>
      <c r="K123" s="14">
        <f>IF(OR($A123="",$G123=""),"",$G123-(IFERROR(INDEX('06-Precificacao'!$G$4:$G$123,MATCH($A123,'06-Precificacao'!$A$4:$A$123,0)),0)-IFERROR(INDEX('06-Precificacao'!$E$4:$E$123,MATCH($A123,'06-Precificacao'!$A$4:$A$123,0)),0)+IFERROR(INDEX('05-Financeiro'!$E$4:$E$123,MATCH($A123,'05-Financeiro'!$A$4:$A$123,0)),0))-($G123*'00-Parametros'!$C$9)-($G123*'00-Parametros'!$C$10)-IFERROR(INDEX('03-Marketing'!$C$4:$C$123,MATCH($A123,'03-Marketing'!$A$4:$A$123,0)),0)-($G123*'00-Parametros'!$C$12))</f>
        <v/>
      </c>
      <c r="L123" s="17">
        <f>IF(OR($A123="",$G123="",$G123=0),"",$K123/$G123)</f>
        <v/>
      </c>
    </row>
  </sheetData>
  <conditionalFormatting sqref="J4:J123">
    <cfRule type="cellIs" priority="1" operator="equal" dxfId="3">
      <formula>"SIM - abaixo do LP"</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3"/>
  <sheetViews>
    <sheetView workbookViewId="0">
      <pane ySplit="3" topLeftCell="A4" activePane="bottomLeft" state="frozen"/>
      <selection pane="bottomLeft" activeCell="A1" sqref="A1"/>
    </sheetView>
  </sheetViews>
  <sheetFormatPr baseColWidth="8" defaultRowHeight="15" outlineLevelCol="0"/>
  <cols>
    <col width="14" customWidth="1" min="1" max="1"/>
    <col width="22" customWidth="1" min="2" max="2"/>
    <col width="12" customWidth="1" min="3" max="3"/>
    <col width="14" customWidth="1" min="4" max="4"/>
    <col width="16" customWidth="1" min="5" max="5"/>
    <col width="18" customWidth="1" min="6" max="6"/>
    <col width="16" customWidth="1" min="7" max="7"/>
    <col width="20" customWidth="1" min="8" max="8"/>
    <col width="18" customWidth="1" min="9" max="9"/>
    <col width="18" customWidth="1" min="10" max="10"/>
  </cols>
  <sheetData>
    <row r="1">
      <c r="A1" s="1" t="inlineStr">
        <is>
          <t>Performance Comercial por Vendedor (Pilar 7)</t>
        </is>
      </c>
    </row>
    <row r="3">
      <c r="A3" s="4" t="inlineStr">
        <is>
          <t>ID Vendedor</t>
        </is>
      </c>
      <c r="B3" s="4" t="inlineStr">
        <is>
          <t>Nome (auto)</t>
        </is>
      </c>
      <c r="C3" s="4" t="inlineStr">
        <is>
          <t>Qtde Vendas</t>
        </is>
      </c>
      <c r="D3" s="4" t="inlineStr">
        <is>
          <t>Ticket Médio (R$)</t>
        </is>
      </c>
      <c r="E3" s="4" t="inlineStr">
        <is>
          <t>Desconto Médio (%)</t>
        </is>
      </c>
      <c r="F3" s="4" t="inlineStr">
        <is>
          <t>Margem Líquida Média Realizada (%)</t>
        </is>
      </c>
      <c r="G3" s="4" t="inlineStr">
        <is>
          <t>Lucro Total Entregue (R$)</t>
        </is>
      </c>
      <c r="H3" s="4" t="inlineStr">
        <is>
          <t>% Vendas no Preço Cheio+</t>
        </is>
      </c>
      <c r="I3" s="4" t="inlineStr">
        <is>
          <t>Ranking Financeiro</t>
        </is>
      </c>
      <c r="J3" s="4" t="inlineStr">
        <is>
          <t>Ranking Comercial</t>
        </is>
      </c>
    </row>
    <row r="4">
      <c r="A4" s="18">
        <f>IF('04-Comercial'!$A4="","",'04-Comercial'!$A4)</f>
        <v/>
      </c>
      <c r="B4" s="18">
        <f>IF($A4="","",IFERROR(INDEX('04-Comercial'!$B$4:$B$33,MATCH($A4,'04-Comercial'!$A$4:$A$33,0)),""))</f>
        <v/>
      </c>
      <c r="C4" s="18">
        <f>IF($A4="","",COUNTIF('08-Vendas-Negociacao'!$C$4:$C$123,$A4))</f>
        <v/>
      </c>
      <c r="D4" s="15">
        <f>IF(OR($A4="",$C4=0),"",AVERAGEIF('08-Vendas-Negociacao'!$C$4:$C$123,$A4,'08-Vendas-Negociacao'!$G$4:$G$123))</f>
        <v/>
      </c>
      <c r="E4" s="24">
        <f>IF(OR($A4="",$C4=0),"",AVERAGEIF('08-Vendas-Negociacao'!$C$4:$C$123,$A4,'08-Vendas-Negociacao'!$I$4:$I$123))</f>
        <v/>
      </c>
      <c r="F4" s="24">
        <f>IF(OR($A4="",$C4=0),"",AVERAGEIF('08-Vendas-Negociacao'!$C$4:$C$123,$A4,'08-Vendas-Negociacao'!$L$4:$L$123))</f>
        <v/>
      </c>
      <c r="G4" s="15">
        <f>IF(OR($A4="",$C4=0),"",SUMIF('08-Vendas-Negociacao'!$C$4:$C$123,$A4,'08-Vendas-Negociacao'!$K$4:$K$123))</f>
        <v/>
      </c>
      <c r="H4" s="24">
        <f>IF(OR($A4="",$C4=0),"",SUMPRODUCT(('08-Vendas-Negociacao'!$C$4:$C$123=$A4)*('08-Vendas-Negociacao'!$G$4:$G$123&gt;='08-Vendas-Negociacao'!$E$4:$E$123))/$C4)</f>
        <v/>
      </c>
      <c r="I4" s="18">
        <f>IF(OR($A4="",$G4=""),"",RANK($G4,$G$4:$G$33))</f>
        <v/>
      </c>
      <c r="J4" s="18">
        <f>IF(OR($A4="",$C4=0),"",RANK($C4,$C$4:$C$33))</f>
        <v/>
      </c>
    </row>
    <row r="5">
      <c r="A5" s="18">
        <f>IF('04-Comercial'!$A5="","",'04-Comercial'!$A5)</f>
        <v/>
      </c>
      <c r="B5" s="18">
        <f>IF($A5="","",IFERROR(INDEX('04-Comercial'!$B$4:$B$33,MATCH($A5,'04-Comercial'!$A$4:$A$33,0)),""))</f>
        <v/>
      </c>
      <c r="C5" s="18">
        <f>IF($A5="","",COUNTIF('08-Vendas-Negociacao'!$C$4:$C$123,$A5))</f>
        <v/>
      </c>
      <c r="D5" s="15">
        <f>IF(OR($A5="",$C5=0),"",AVERAGEIF('08-Vendas-Negociacao'!$C$4:$C$123,$A5,'08-Vendas-Negociacao'!$G$4:$G$123))</f>
        <v/>
      </c>
      <c r="E5" s="24">
        <f>IF(OR($A5="",$C5=0),"",AVERAGEIF('08-Vendas-Negociacao'!$C$4:$C$123,$A5,'08-Vendas-Negociacao'!$I$4:$I$123))</f>
        <v/>
      </c>
      <c r="F5" s="24">
        <f>IF(OR($A5="",$C5=0),"",AVERAGEIF('08-Vendas-Negociacao'!$C$4:$C$123,$A5,'08-Vendas-Negociacao'!$L$4:$L$123))</f>
        <v/>
      </c>
      <c r="G5" s="15">
        <f>IF(OR($A5="",$C5=0),"",SUMIF('08-Vendas-Negociacao'!$C$4:$C$123,$A5,'08-Vendas-Negociacao'!$K$4:$K$123))</f>
        <v/>
      </c>
      <c r="H5" s="24">
        <f>IF(OR($A5="",$C5=0),"",SUMPRODUCT(('08-Vendas-Negociacao'!$C$4:$C$123=$A5)*('08-Vendas-Negociacao'!$G$4:$G$123&gt;='08-Vendas-Negociacao'!$E$4:$E$123))/$C5)</f>
        <v/>
      </c>
      <c r="I5" s="18">
        <f>IF(OR($A5="",$G5=""),"",RANK($G5,$G$4:$G$33))</f>
        <v/>
      </c>
      <c r="J5" s="18">
        <f>IF(OR($A5="",$C5=0),"",RANK($C5,$C$4:$C$33))</f>
        <v/>
      </c>
    </row>
    <row r="6">
      <c r="A6" s="18">
        <f>IF('04-Comercial'!$A6="","",'04-Comercial'!$A6)</f>
        <v/>
      </c>
      <c r="B6" s="18">
        <f>IF($A6="","",IFERROR(INDEX('04-Comercial'!$B$4:$B$33,MATCH($A6,'04-Comercial'!$A$4:$A$33,0)),""))</f>
        <v/>
      </c>
      <c r="C6" s="18">
        <f>IF($A6="","",COUNTIF('08-Vendas-Negociacao'!$C$4:$C$123,$A6))</f>
        <v/>
      </c>
      <c r="D6" s="15">
        <f>IF(OR($A6="",$C6=0),"",AVERAGEIF('08-Vendas-Negociacao'!$C$4:$C$123,$A6,'08-Vendas-Negociacao'!$G$4:$G$123))</f>
        <v/>
      </c>
      <c r="E6" s="24">
        <f>IF(OR($A6="",$C6=0),"",AVERAGEIF('08-Vendas-Negociacao'!$C$4:$C$123,$A6,'08-Vendas-Negociacao'!$I$4:$I$123))</f>
        <v/>
      </c>
      <c r="F6" s="24">
        <f>IF(OR($A6="",$C6=0),"",AVERAGEIF('08-Vendas-Negociacao'!$C$4:$C$123,$A6,'08-Vendas-Negociacao'!$L$4:$L$123))</f>
        <v/>
      </c>
      <c r="G6" s="15">
        <f>IF(OR($A6="",$C6=0),"",SUMIF('08-Vendas-Negociacao'!$C$4:$C$123,$A6,'08-Vendas-Negociacao'!$K$4:$K$123))</f>
        <v/>
      </c>
      <c r="H6" s="24">
        <f>IF(OR($A6="",$C6=0),"",SUMPRODUCT(('08-Vendas-Negociacao'!$C$4:$C$123=$A6)*('08-Vendas-Negociacao'!$G$4:$G$123&gt;='08-Vendas-Negociacao'!$E$4:$E$123))/$C6)</f>
        <v/>
      </c>
      <c r="I6" s="18">
        <f>IF(OR($A6="",$G6=""),"",RANK($G6,$G$4:$G$33))</f>
        <v/>
      </c>
      <c r="J6" s="18">
        <f>IF(OR($A6="",$C6=0),"",RANK($C6,$C$4:$C$33))</f>
        <v/>
      </c>
    </row>
    <row r="7">
      <c r="A7" s="18">
        <f>IF('04-Comercial'!$A7="","",'04-Comercial'!$A7)</f>
        <v/>
      </c>
      <c r="B7" s="18">
        <f>IF($A7="","",IFERROR(INDEX('04-Comercial'!$B$4:$B$33,MATCH($A7,'04-Comercial'!$A$4:$A$33,0)),""))</f>
        <v/>
      </c>
      <c r="C7" s="18">
        <f>IF($A7="","",COUNTIF('08-Vendas-Negociacao'!$C$4:$C$123,$A7))</f>
        <v/>
      </c>
      <c r="D7" s="15">
        <f>IF(OR($A7="",$C7=0),"",AVERAGEIF('08-Vendas-Negociacao'!$C$4:$C$123,$A7,'08-Vendas-Negociacao'!$G$4:$G$123))</f>
        <v/>
      </c>
      <c r="E7" s="24">
        <f>IF(OR($A7="",$C7=0),"",AVERAGEIF('08-Vendas-Negociacao'!$C$4:$C$123,$A7,'08-Vendas-Negociacao'!$I$4:$I$123))</f>
        <v/>
      </c>
      <c r="F7" s="24">
        <f>IF(OR($A7="",$C7=0),"",AVERAGEIF('08-Vendas-Negociacao'!$C$4:$C$123,$A7,'08-Vendas-Negociacao'!$L$4:$L$123))</f>
        <v/>
      </c>
      <c r="G7" s="15">
        <f>IF(OR($A7="",$C7=0),"",SUMIF('08-Vendas-Negociacao'!$C$4:$C$123,$A7,'08-Vendas-Negociacao'!$K$4:$K$123))</f>
        <v/>
      </c>
      <c r="H7" s="24">
        <f>IF(OR($A7="",$C7=0),"",SUMPRODUCT(('08-Vendas-Negociacao'!$C$4:$C$123=$A7)*('08-Vendas-Negociacao'!$G$4:$G$123&gt;='08-Vendas-Negociacao'!$E$4:$E$123))/$C7)</f>
        <v/>
      </c>
      <c r="I7" s="18">
        <f>IF(OR($A7="",$G7=""),"",RANK($G7,$G$4:$G$33))</f>
        <v/>
      </c>
      <c r="J7" s="18">
        <f>IF(OR($A7="",$C7=0),"",RANK($C7,$C$4:$C$33))</f>
        <v/>
      </c>
    </row>
    <row r="8">
      <c r="A8" s="18">
        <f>IF('04-Comercial'!$A8="","",'04-Comercial'!$A8)</f>
        <v/>
      </c>
      <c r="B8" s="18">
        <f>IF($A8="","",IFERROR(INDEX('04-Comercial'!$B$4:$B$33,MATCH($A8,'04-Comercial'!$A$4:$A$33,0)),""))</f>
        <v/>
      </c>
      <c r="C8" s="18">
        <f>IF($A8="","",COUNTIF('08-Vendas-Negociacao'!$C$4:$C$123,$A8))</f>
        <v/>
      </c>
      <c r="D8" s="15">
        <f>IF(OR($A8="",$C8=0),"",AVERAGEIF('08-Vendas-Negociacao'!$C$4:$C$123,$A8,'08-Vendas-Negociacao'!$G$4:$G$123))</f>
        <v/>
      </c>
      <c r="E8" s="24">
        <f>IF(OR($A8="",$C8=0),"",AVERAGEIF('08-Vendas-Negociacao'!$C$4:$C$123,$A8,'08-Vendas-Negociacao'!$I$4:$I$123))</f>
        <v/>
      </c>
      <c r="F8" s="24">
        <f>IF(OR($A8="",$C8=0),"",AVERAGEIF('08-Vendas-Negociacao'!$C$4:$C$123,$A8,'08-Vendas-Negociacao'!$L$4:$L$123))</f>
        <v/>
      </c>
      <c r="G8" s="15">
        <f>IF(OR($A8="",$C8=0),"",SUMIF('08-Vendas-Negociacao'!$C$4:$C$123,$A8,'08-Vendas-Negociacao'!$K$4:$K$123))</f>
        <v/>
      </c>
      <c r="H8" s="24">
        <f>IF(OR($A8="",$C8=0),"",SUMPRODUCT(('08-Vendas-Negociacao'!$C$4:$C$123=$A8)*('08-Vendas-Negociacao'!$G$4:$G$123&gt;='08-Vendas-Negociacao'!$E$4:$E$123))/$C8)</f>
        <v/>
      </c>
      <c r="I8" s="18">
        <f>IF(OR($A8="",$G8=""),"",RANK($G8,$G$4:$G$33))</f>
        <v/>
      </c>
      <c r="J8" s="18">
        <f>IF(OR($A8="",$C8=0),"",RANK($C8,$C$4:$C$33))</f>
        <v/>
      </c>
    </row>
    <row r="9">
      <c r="A9" s="18">
        <f>IF('04-Comercial'!$A9="","",'04-Comercial'!$A9)</f>
        <v/>
      </c>
      <c r="B9" s="18">
        <f>IF($A9="","",IFERROR(INDEX('04-Comercial'!$B$4:$B$33,MATCH($A9,'04-Comercial'!$A$4:$A$33,0)),""))</f>
        <v/>
      </c>
      <c r="C9" s="18">
        <f>IF($A9="","",COUNTIF('08-Vendas-Negociacao'!$C$4:$C$123,$A9))</f>
        <v/>
      </c>
      <c r="D9" s="15">
        <f>IF(OR($A9="",$C9=0),"",AVERAGEIF('08-Vendas-Negociacao'!$C$4:$C$123,$A9,'08-Vendas-Negociacao'!$G$4:$G$123))</f>
        <v/>
      </c>
      <c r="E9" s="24">
        <f>IF(OR($A9="",$C9=0),"",AVERAGEIF('08-Vendas-Negociacao'!$C$4:$C$123,$A9,'08-Vendas-Negociacao'!$I$4:$I$123))</f>
        <v/>
      </c>
      <c r="F9" s="24">
        <f>IF(OR($A9="",$C9=0),"",AVERAGEIF('08-Vendas-Negociacao'!$C$4:$C$123,$A9,'08-Vendas-Negociacao'!$L$4:$L$123))</f>
        <v/>
      </c>
      <c r="G9" s="15">
        <f>IF(OR($A9="",$C9=0),"",SUMIF('08-Vendas-Negociacao'!$C$4:$C$123,$A9,'08-Vendas-Negociacao'!$K$4:$K$123))</f>
        <v/>
      </c>
      <c r="H9" s="24">
        <f>IF(OR($A9="",$C9=0),"",SUMPRODUCT(('08-Vendas-Negociacao'!$C$4:$C$123=$A9)*('08-Vendas-Negociacao'!$G$4:$G$123&gt;='08-Vendas-Negociacao'!$E$4:$E$123))/$C9)</f>
        <v/>
      </c>
      <c r="I9" s="18">
        <f>IF(OR($A9="",$G9=""),"",RANK($G9,$G$4:$G$33))</f>
        <v/>
      </c>
      <c r="J9" s="18">
        <f>IF(OR($A9="",$C9=0),"",RANK($C9,$C$4:$C$33))</f>
        <v/>
      </c>
    </row>
    <row r="10">
      <c r="A10" s="18">
        <f>IF('04-Comercial'!$A10="","",'04-Comercial'!$A10)</f>
        <v/>
      </c>
      <c r="B10" s="18">
        <f>IF($A10="","",IFERROR(INDEX('04-Comercial'!$B$4:$B$33,MATCH($A10,'04-Comercial'!$A$4:$A$33,0)),""))</f>
        <v/>
      </c>
      <c r="C10" s="18">
        <f>IF($A10="","",COUNTIF('08-Vendas-Negociacao'!$C$4:$C$123,$A10))</f>
        <v/>
      </c>
      <c r="D10" s="15">
        <f>IF(OR($A10="",$C10=0),"",AVERAGEIF('08-Vendas-Negociacao'!$C$4:$C$123,$A10,'08-Vendas-Negociacao'!$G$4:$G$123))</f>
        <v/>
      </c>
      <c r="E10" s="24">
        <f>IF(OR($A10="",$C10=0),"",AVERAGEIF('08-Vendas-Negociacao'!$C$4:$C$123,$A10,'08-Vendas-Negociacao'!$I$4:$I$123))</f>
        <v/>
      </c>
      <c r="F10" s="24">
        <f>IF(OR($A10="",$C10=0),"",AVERAGEIF('08-Vendas-Negociacao'!$C$4:$C$123,$A10,'08-Vendas-Negociacao'!$L$4:$L$123))</f>
        <v/>
      </c>
      <c r="G10" s="15">
        <f>IF(OR($A10="",$C10=0),"",SUMIF('08-Vendas-Negociacao'!$C$4:$C$123,$A10,'08-Vendas-Negociacao'!$K$4:$K$123))</f>
        <v/>
      </c>
      <c r="H10" s="24">
        <f>IF(OR($A10="",$C10=0),"",SUMPRODUCT(('08-Vendas-Negociacao'!$C$4:$C$123=$A10)*('08-Vendas-Negociacao'!$G$4:$G$123&gt;='08-Vendas-Negociacao'!$E$4:$E$123))/$C10)</f>
        <v/>
      </c>
      <c r="I10" s="18">
        <f>IF(OR($A10="",$G10=""),"",RANK($G10,$G$4:$G$33))</f>
        <v/>
      </c>
      <c r="J10" s="18">
        <f>IF(OR($A10="",$C10=0),"",RANK($C10,$C$4:$C$33))</f>
        <v/>
      </c>
    </row>
    <row r="11">
      <c r="A11" s="18">
        <f>IF('04-Comercial'!$A11="","",'04-Comercial'!$A11)</f>
        <v/>
      </c>
      <c r="B11" s="18">
        <f>IF($A11="","",IFERROR(INDEX('04-Comercial'!$B$4:$B$33,MATCH($A11,'04-Comercial'!$A$4:$A$33,0)),""))</f>
        <v/>
      </c>
      <c r="C11" s="18">
        <f>IF($A11="","",COUNTIF('08-Vendas-Negociacao'!$C$4:$C$123,$A11))</f>
        <v/>
      </c>
      <c r="D11" s="15">
        <f>IF(OR($A11="",$C11=0),"",AVERAGEIF('08-Vendas-Negociacao'!$C$4:$C$123,$A11,'08-Vendas-Negociacao'!$G$4:$G$123))</f>
        <v/>
      </c>
      <c r="E11" s="24">
        <f>IF(OR($A11="",$C11=0),"",AVERAGEIF('08-Vendas-Negociacao'!$C$4:$C$123,$A11,'08-Vendas-Negociacao'!$I$4:$I$123))</f>
        <v/>
      </c>
      <c r="F11" s="24">
        <f>IF(OR($A11="",$C11=0),"",AVERAGEIF('08-Vendas-Negociacao'!$C$4:$C$123,$A11,'08-Vendas-Negociacao'!$L$4:$L$123))</f>
        <v/>
      </c>
      <c r="G11" s="15">
        <f>IF(OR($A11="",$C11=0),"",SUMIF('08-Vendas-Negociacao'!$C$4:$C$123,$A11,'08-Vendas-Negociacao'!$K$4:$K$123))</f>
        <v/>
      </c>
      <c r="H11" s="24">
        <f>IF(OR($A11="",$C11=0),"",SUMPRODUCT(('08-Vendas-Negociacao'!$C$4:$C$123=$A11)*('08-Vendas-Negociacao'!$G$4:$G$123&gt;='08-Vendas-Negociacao'!$E$4:$E$123))/$C11)</f>
        <v/>
      </c>
      <c r="I11" s="18">
        <f>IF(OR($A11="",$G11=""),"",RANK($G11,$G$4:$G$33))</f>
        <v/>
      </c>
      <c r="J11" s="18">
        <f>IF(OR($A11="",$C11=0),"",RANK($C11,$C$4:$C$33))</f>
        <v/>
      </c>
    </row>
    <row r="12">
      <c r="A12" s="18">
        <f>IF('04-Comercial'!$A12="","",'04-Comercial'!$A12)</f>
        <v/>
      </c>
      <c r="B12" s="18">
        <f>IF($A12="","",IFERROR(INDEX('04-Comercial'!$B$4:$B$33,MATCH($A12,'04-Comercial'!$A$4:$A$33,0)),""))</f>
        <v/>
      </c>
      <c r="C12" s="18">
        <f>IF($A12="","",COUNTIF('08-Vendas-Negociacao'!$C$4:$C$123,$A12))</f>
        <v/>
      </c>
      <c r="D12" s="15">
        <f>IF(OR($A12="",$C12=0),"",AVERAGEIF('08-Vendas-Negociacao'!$C$4:$C$123,$A12,'08-Vendas-Negociacao'!$G$4:$G$123))</f>
        <v/>
      </c>
      <c r="E12" s="24">
        <f>IF(OR($A12="",$C12=0),"",AVERAGEIF('08-Vendas-Negociacao'!$C$4:$C$123,$A12,'08-Vendas-Negociacao'!$I$4:$I$123))</f>
        <v/>
      </c>
      <c r="F12" s="24">
        <f>IF(OR($A12="",$C12=0),"",AVERAGEIF('08-Vendas-Negociacao'!$C$4:$C$123,$A12,'08-Vendas-Negociacao'!$L$4:$L$123))</f>
        <v/>
      </c>
      <c r="G12" s="15">
        <f>IF(OR($A12="",$C12=0),"",SUMIF('08-Vendas-Negociacao'!$C$4:$C$123,$A12,'08-Vendas-Negociacao'!$K$4:$K$123))</f>
        <v/>
      </c>
      <c r="H12" s="24">
        <f>IF(OR($A12="",$C12=0),"",SUMPRODUCT(('08-Vendas-Negociacao'!$C$4:$C$123=$A12)*('08-Vendas-Negociacao'!$G$4:$G$123&gt;='08-Vendas-Negociacao'!$E$4:$E$123))/$C12)</f>
        <v/>
      </c>
      <c r="I12" s="18">
        <f>IF(OR($A12="",$G12=""),"",RANK($G12,$G$4:$G$33))</f>
        <v/>
      </c>
      <c r="J12" s="18">
        <f>IF(OR($A12="",$C12=0),"",RANK($C12,$C$4:$C$33))</f>
        <v/>
      </c>
    </row>
    <row r="13">
      <c r="A13" s="18">
        <f>IF('04-Comercial'!$A13="","",'04-Comercial'!$A13)</f>
        <v/>
      </c>
      <c r="B13" s="18">
        <f>IF($A13="","",IFERROR(INDEX('04-Comercial'!$B$4:$B$33,MATCH($A13,'04-Comercial'!$A$4:$A$33,0)),""))</f>
        <v/>
      </c>
      <c r="C13" s="18">
        <f>IF($A13="","",COUNTIF('08-Vendas-Negociacao'!$C$4:$C$123,$A13))</f>
        <v/>
      </c>
      <c r="D13" s="15">
        <f>IF(OR($A13="",$C13=0),"",AVERAGEIF('08-Vendas-Negociacao'!$C$4:$C$123,$A13,'08-Vendas-Negociacao'!$G$4:$G$123))</f>
        <v/>
      </c>
      <c r="E13" s="24">
        <f>IF(OR($A13="",$C13=0),"",AVERAGEIF('08-Vendas-Negociacao'!$C$4:$C$123,$A13,'08-Vendas-Negociacao'!$I$4:$I$123))</f>
        <v/>
      </c>
      <c r="F13" s="24">
        <f>IF(OR($A13="",$C13=0),"",AVERAGEIF('08-Vendas-Negociacao'!$C$4:$C$123,$A13,'08-Vendas-Negociacao'!$L$4:$L$123))</f>
        <v/>
      </c>
      <c r="G13" s="15">
        <f>IF(OR($A13="",$C13=0),"",SUMIF('08-Vendas-Negociacao'!$C$4:$C$123,$A13,'08-Vendas-Negociacao'!$K$4:$K$123))</f>
        <v/>
      </c>
      <c r="H13" s="24">
        <f>IF(OR($A13="",$C13=0),"",SUMPRODUCT(('08-Vendas-Negociacao'!$C$4:$C$123=$A13)*('08-Vendas-Negociacao'!$G$4:$G$123&gt;='08-Vendas-Negociacao'!$E$4:$E$123))/$C13)</f>
        <v/>
      </c>
      <c r="I13" s="18">
        <f>IF(OR($A13="",$G13=""),"",RANK($G13,$G$4:$G$33))</f>
        <v/>
      </c>
      <c r="J13" s="18">
        <f>IF(OR($A13="",$C13=0),"",RANK($C13,$C$4:$C$33))</f>
        <v/>
      </c>
    </row>
    <row r="14">
      <c r="A14" s="18">
        <f>IF('04-Comercial'!$A14="","",'04-Comercial'!$A14)</f>
        <v/>
      </c>
      <c r="B14" s="18">
        <f>IF($A14="","",IFERROR(INDEX('04-Comercial'!$B$4:$B$33,MATCH($A14,'04-Comercial'!$A$4:$A$33,0)),""))</f>
        <v/>
      </c>
      <c r="C14" s="18">
        <f>IF($A14="","",COUNTIF('08-Vendas-Negociacao'!$C$4:$C$123,$A14))</f>
        <v/>
      </c>
      <c r="D14" s="15">
        <f>IF(OR($A14="",$C14=0),"",AVERAGEIF('08-Vendas-Negociacao'!$C$4:$C$123,$A14,'08-Vendas-Negociacao'!$G$4:$G$123))</f>
        <v/>
      </c>
      <c r="E14" s="24">
        <f>IF(OR($A14="",$C14=0),"",AVERAGEIF('08-Vendas-Negociacao'!$C$4:$C$123,$A14,'08-Vendas-Negociacao'!$I$4:$I$123))</f>
        <v/>
      </c>
      <c r="F14" s="24">
        <f>IF(OR($A14="",$C14=0),"",AVERAGEIF('08-Vendas-Negociacao'!$C$4:$C$123,$A14,'08-Vendas-Negociacao'!$L$4:$L$123))</f>
        <v/>
      </c>
      <c r="G14" s="15">
        <f>IF(OR($A14="",$C14=0),"",SUMIF('08-Vendas-Negociacao'!$C$4:$C$123,$A14,'08-Vendas-Negociacao'!$K$4:$K$123))</f>
        <v/>
      </c>
      <c r="H14" s="24">
        <f>IF(OR($A14="",$C14=0),"",SUMPRODUCT(('08-Vendas-Negociacao'!$C$4:$C$123=$A14)*('08-Vendas-Negociacao'!$G$4:$G$123&gt;='08-Vendas-Negociacao'!$E$4:$E$123))/$C14)</f>
        <v/>
      </c>
      <c r="I14" s="18">
        <f>IF(OR($A14="",$G14=""),"",RANK($G14,$G$4:$G$33))</f>
        <v/>
      </c>
      <c r="J14" s="18">
        <f>IF(OR($A14="",$C14=0),"",RANK($C14,$C$4:$C$33))</f>
        <v/>
      </c>
    </row>
    <row r="15">
      <c r="A15" s="18">
        <f>IF('04-Comercial'!$A15="","",'04-Comercial'!$A15)</f>
        <v/>
      </c>
      <c r="B15" s="18">
        <f>IF($A15="","",IFERROR(INDEX('04-Comercial'!$B$4:$B$33,MATCH($A15,'04-Comercial'!$A$4:$A$33,0)),""))</f>
        <v/>
      </c>
      <c r="C15" s="18">
        <f>IF($A15="","",COUNTIF('08-Vendas-Negociacao'!$C$4:$C$123,$A15))</f>
        <v/>
      </c>
      <c r="D15" s="15">
        <f>IF(OR($A15="",$C15=0),"",AVERAGEIF('08-Vendas-Negociacao'!$C$4:$C$123,$A15,'08-Vendas-Negociacao'!$G$4:$G$123))</f>
        <v/>
      </c>
      <c r="E15" s="24">
        <f>IF(OR($A15="",$C15=0),"",AVERAGEIF('08-Vendas-Negociacao'!$C$4:$C$123,$A15,'08-Vendas-Negociacao'!$I$4:$I$123))</f>
        <v/>
      </c>
      <c r="F15" s="24">
        <f>IF(OR($A15="",$C15=0),"",AVERAGEIF('08-Vendas-Negociacao'!$C$4:$C$123,$A15,'08-Vendas-Negociacao'!$L$4:$L$123))</f>
        <v/>
      </c>
      <c r="G15" s="15">
        <f>IF(OR($A15="",$C15=0),"",SUMIF('08-Vendas-Negociacao'!$C$4:$C$123,$A15,'08-Vendas-Negociacao'!$K$4:$K$123))</f>
        <v/>
      </c>
      <c r="H15" s="24">
        <f>IF(OR($A15="",$C15=0),"",SUMPRODUCT(('08-Vendas-Negociacao'!$C$4:$C$123=$A15)*('08-Vendas-Negociacao'!$G$4:$G$123&gt;='08-Vendas-Negociacao'!$E$4:$E$123))/$C15)</f>
        <v/>
      </c>
      <c r="I15" s="18">
        <f>IF(OR($A15="",$G15=""),"",RANK($G15,$G$4:$G$33))</f>
        <v/>
      </c>
      <c r="J15" s="18">
        <f>IF(OR($A15="",$C15=0),"",RANK($C15,$C$4:$C$33))</f>
        <v/>
      </c>
    </row>
    <row r="16">
      <c r="A16" s="18">
        <f>IF('04-Comercial'!$A16="","",'04-Comercial'!$A16)</f>
        <v/>
      </c>
      <c r="B16" s="18">
        <f>IF($A16="","",IFERROR(INDEX('04-Comercial'!$B$4:$B$33,MATCH($A16,'04-Comercial'!$A$4:$A$33,0)),""))</f>
        <v/>
      </c>
      <c r="C16" s="18">
        <f>IF($A16="","",COUNTIF('08-Vendas-Negociacao'!$C$4:$C$123,$A16))</f>
        <v/>
      </c>
      <c r="D16" s="15">
        <f>IF(OR($A16="",$C16=0),"",AVERAGEIF('08-Vendas-Negociacao'!$C$4:$C$123,$A16,'08-Vendas-Negociacao'!$G$4:$G$123))</f>
        <v/>
      </c>
      <c r="E16" s="24">
        <f>IF(OR($A16="",$C16=0),"",AVERAGEIF('08-Vendas-Negociacao'!$C$4:$C$123,$A16,'08-Vendas-Negociacao'!$I$4:$I$123))</f>
        <v/>
      </c>
      <c r="F16" s="24">
        <f>IF(OR($A16="",$C16=0),"",AVERAGEIF('08-Vendas-Negociacao'!$C$4:$C$123,$A16,'08-Vendas-Negociacao'!$L$4:$L$123))</f>
        <v/>
      </c>
      <c r="G16" s="15">
        <f>IF(OR($A16="",$C16=0),"",SUMIF('08-Vendas-Negociacao'!$C$4:$C$123,$A16,'08-Vendas-Negociacao'!$K$4:$K$123))</f>
        <v/>
      </c>
      <c r="H16" s="24">
        <f>IF(OR($A16="",$C16=0),"",SUMPRODUCT(('08-Vendas-Negociacao'!$C$4:$C$123=$A16)*('08-Vendas-Negociacao'!$G$4:$G$123&gt;='08-Vendas-Negociacao'!$E$4:$E$123))/$C16)</f>
        <v/>
      </c>
      <c r="I16" s="18">
        <f>IF(OR($A16="",$G16=""),"",RANK($G16,$G$4:$G$33))</f>
        <v/>
      </c>
      <c r="J16" s="18">
        <f>IF(OR($A16="",$C16=0),"",RANK($C16,$C$4:$C$33))</f>
        <v/>
      </c>
    </row>
    <row r="17">
      <c r="A17" s="18">
        <f>IF('04-Comercial'!$A17="","",'04-Comercial'!$A17)</f>
        <v/>
      </c>
      <c r="B17" s="18">
        <f>IF($A17="","",IFERROR(INDEX('04-Comercial'!$B$4:$B$33,MATCH($A17,'04-Comercial'!$A$4:$A$33,0)),""))</f>
        <v/>
      </c>
      <c r="C17" s="18">
        <f>IF($A17="","",COUNTIF('08-Vendas-Negociacao'!$C$4:$C$123,$A17))</f>
        <v/>
      </c>
      <c r="D17" s="15">
        <f>IF(OR($A17="",$C17=0),"",AVERAGEIF('08-Vendas-Negociacao'!$C$4:$C$123,$A17,'08-Vendas-Negociacao'!$G$4:$G$123))</f>
        <v/>
      </c>
      <c r="E17" s="24">
        <f>IF(OR($A17="",$C17=0),"",AVERAGEIF('08-Vendas-Negociacao'!$C$4:$C$123,$A17,'08-Vendas-Negociacao'!$I$4:$I$123))</f>
        <v/>
      </c>
      <c r="F17" s="24">
        <f>IF(OR($A17="",$C17=0),"",AVERAGEIF('08-Vendas-Negociacao'!$C$4:$C$123,$A17,'08-Vendas-Negociacao'!$L$4:$L$123))</f>
        <v/>
      </c>
      <c r="G17" s="15">
        <f>IF(OR($A17="",$C17=0),"",SUMIF('08-Vendas-Negociacao'!$C$4:$C$123,$A17,'08-Vendas-Negociacao'!$K$4:$K$123))</f>
        <v/>
      </c>
      <c r="H17" s="24">
        <f>IF(OR($A17="",$C17=0),"",SUMPRODUCT(('08-Vendas-Negociacao'!$C$4:$C$123=$A17)*('08-Vendas-Negociacao'!$G$4:$G$123&gt;='08-Vendas-Negociacao'!$E$4:$E$123))/$C17)</f>
        <v/>
      </c>
      <c r="I17" s="18">
        <f>IF(OR($A17="",$G17=""),"",RANK($G17,$G$4:$G$33))</f>
        <v/>
      </c>
      <c r="J17" s="18">
        <f>IF(OR($A17="",$C17=0),"",RANK($C17,$C$4:$C$33))</f>
        <v/>
      </c>
    </row>
    <row r="18">
      <c r="A18" s="18">
        <f>IF('04-Comercial'!$A18="","",'04-Comercial'!$A18)</f>
        <v/>
      </c>
      <c r="B18" s="18">
        <f>IF($A18="","",IFERROR(INDEX('04-Comercial'!$B$4:$B$33,MATCH($A18,'04-Comercial'!$A$4:$A$33,0)),""))</f>
        <v/>
      </c>
      <c r="C18" s="18">
        <f>IF($A18="","",COUNTIF('08-Vendas-Negociacao'!$C$4:$C$123,$A18))</f>
        <v/>
      </c>
      <c r="D18" s="15">
        <f>IF(OR($A18="",$C18=0),"",AVERAGEIF('08-Vendas-Negociacao'!$C$4:$C$123,$A18,'08-Vendas-Negociacao'!$G$4:$G$123))</f>
        <v/>
      </c>
      <c r="E18" s="24">
        <f>IF(OR($A18="",$C18=0),"",AVERAGEIF('08-Vendas-Negociacao'!$C$4:$C$123,$A18,'08-Vendas-Negociacao'!$I$4:$I$123))</f>
        <v/>
      </c>
      <c r="F18" s="24">
        <f>IF(OR($A18="",$C18=0),"",AVERAGEIF('08-Vendas-Negociacao'!$C$4:$C$123,$A18,'08-Vendas-Negociacao'!$L$4:$L$123))</f>
        <v/>
      </c>
      <c r="G18" s="15">
        <f>IF(OR($A18="",$C18=0),"",SUMIF('08-Vendas-Negociacao'!$C$4:$C$123,$A18,'08-Vendas-Negociacao'!$K$4:$K$123))</f>
        <v/>
      </c>
      <c r="H18" s="24">
        <f>IF(OR($A18="",$C18=0),"",SUMPRODUCT(('08-Vendas-Negociacao'!$C$4:$C$123=$A18)*('08-Vendas-Negociacao'!$G$4:$G$123&gt;='08-Vendas-Negociacao'!$E$4:$E$123))/$C18)</f>
        <v/>
      </c>
      <c r="I18" s="18">
        <f>IF(OR($A18="",$G18=""),"",RANK($G18,$G$4:$G$33))</f>
        <v/>
      </c>
      <c r="J18" s="18">
        <f>IF(OR($A18="",$C18=0),"",RANK($C18,$C$4:$C$33))</f>
        <v/>
      </c>
    </row>
    <row r="19">
      <c r="A19" s="18">
        <f>IF('04-Comercial'!$A19="","",'04-Comercial'!$A19)</f>
        <v/>
      </c>
      <c r="B19" s="18">
        <f>IF($A19="","",IFERROR(INDEX('04-Comercial'!$B$4:$B$33,MATCH($A19,'04-Comercial'!$A$4:$A$33,0)),""))</f>
        <v/>
      </c>
      <c r="C19" s="18">
        <f>IF($A19="","",COUNTIF('08-Vendas-Negociacao'!$C$4:$C$123,$A19))</f>
        <v/>
      </c>
      <c r="D19" s="15">
        <f>IF(OR($A19="",$C19=0),"",AVERAGEIF('08-Vendas-Negociacao'!$C$4:$C$123,$A19,'08-Vendas-Negociacao'!$G$4:$G$123))</f>
        <v/>
      </c>
      <c r="E19" s="24">
        <f>IF(OR($A19="",$C19=0),"",AVERAGEIF('08-Vendas-Negociacao'!$C$4:$C$123,$A19,'08-Vendas-Negociacao'!$I$4:$I$123))</f>
        <v/>
      </c>
      <c r="F19" s="24">
        <f>IF(OR($A19="",$C19=0),"",AVERAGEIF('08-Vendas-Negociacao'!$C$4:$C$123,$A19,'08-Vendas-Negociacao'!$L$4:$L$123))</f>
        <v/>
      </c>
      <c r="G19" s="15">
        <f>IF(OR($A19="",$C19=0),"",SUMIF('08-Vendas-Negociacao'!$C$4:$C$123,$A19,'08-Vendas-Negociacao'!$K$4:$K$123))</f>
        <v/>
      </c>
      <c r="H19" s="24">
        <f>IF(OR($A19="",$C19=0),"",SUMPRODUCT(('08-Vendas-Negociacao'!$C$4:$C$123=$A19)*('08-Vendas-Negociacao'!$G$4:$G$123&gt;='08-Vendas-Negociacao'!$E$4:$E$123))/$C19)</f>
        <v/>
      </c>
      <c r="I19" s="18">
        <f>IF(OR($A19="",$G19=""),"",RANK($G19,$G$4:$G$33))</f>
        <v/>
      </c>
      <c r="J19" s="18">
        <f>IF(OR($A19="",$C19=0),"",RANK($C19,$C$4:$C$33))</f>
        <v/>
      </c>
    </row>
    <row r="20">
      <c r="A20" s="18">
        <f>IF('04-Comercial'!$A20="","",'04-Comercial'!$A20)</f>
        <v/>
      </c>
      <c r="B20" s="18">
        <f>IF($A20="","",IFERROR(INDEX('04-Comercial'!$B$4:$B$33,MATCH($A20,'04-Comercial'!$A$4:$A$33,0)),""))</f>
        <v/>
      </c>
      <c r="C20" s="18">
        <f>IF($A20="","",COUNTIF('08-Vendas-Negociacao'!$C$4:$C$123,$A20))</f>
        <v/>
      </c>
      <c r="D20" s="15">
        <f>IF(OR($A20="",$C20=0),"",AVERAGEIF('08-Vendas-Negociacao'!$C$4:$C$123,$A20,'08-Vendas-Negociacao'!$G$4:$G$123))</f>
        <v/>
      </c>
      <c r="E20" s="24">
        <f>IF(OR($A20="",$C20=0),"",AVERAGEIF('08-Vendas-Negociacao'!$C$4:$C$123,$A20,'08-Vendas-Negociacao'!$I$4:$I$123))</f>
        <v/>
      </c>
      <c r="F20" s="24">
        <f>IF(OR($A20="",$C20=0),"",AVERAGEIF('08-Vendas-Negociacao'!$C$4:$C$123,$A20,'08-Vendas-Negociacao'!$L$4:$L$123))</f>
        <v/>
      </c>
      <c r="G20" s="15">
        <f>IF(OR($A20="",$C20=0),"",SUMIF('08-Vendas-Negociacao'!$C$4:$C$123,$A20,'08-Vendas-Negociacao'!$K$4:$K$123))</f>
        <v/>
      </c>
      <c r="H20" s="24">
        <f>IF(OR($A20="",$C20=0),"",SUMPRODUCT(('08-Vendas-Negociacao'!$C$4:$C$123=$A20)*('08-Vendas-Negociacao'!$G$4:$G$123&gt;='08-Vendas-Negociacao'!$E$4:$E$123))/$C20)</f>
        <v/>
      </c>
      <c r="I20" s="18">
        <f>IF(OR($A20="",$G20=""),"",RANK($G20,$G$4:$G$33))</f>
        <v/>
      </c>
      <c r="J20" s="18">
        <f>IF(OR($A20="",$C20=0),"",RANK($C20,$C$4:$C$33))</f>
        <v/>
      </c>
    </row>
    <row r="21">
      <c r="A21" s="18">
        <f>IF('04-Comercial'!$A21="","",'04-Comercial'!$A21)</f>
        <v/>
      </c>
      <c r="B21" s="18">
        <f>IF($A21="","",IFERROR(INDEX('04-Comercial'!$B$4:$B$33,MATCH($A21,'04-Comercial'!$A$4:$A$33,0)),""))</f>
        <v/>
      </c>
      <c r="C21" s="18">
        <f>IF($A21="","",COUNTIF('08-Vendas-Negociacao'!$C$4:$C$123,$A21))</f>
        <v/>
      </c>
      <c r="D21" s="15">
        <f>IF(OR($A21="",$C21=0),"",AVERAGEIF('08-Vendas-Negociacao'!$C$4:$C$123,$A21,'08-Vendas-Negociacao'!$G$4:$G$123))</f>
        <v/>
      </c>
      <c r="E21" s="24">
        <f>IF(OR($A21="",$C21=0),"",AVERAGEIF('08-Vendas-Negociacao'!$C$4:$C$123,$A21,'08-Vendas-Negociacao'!$I$4:$I$123))</f>
        <v/>
      </c>
      <c r="F21" s="24">
        <f>IF(OR($A21="",$C21=0),"",AVERAGEIF('08-Vendas-Negociacao'!$C$4:$C$123,$A21,'08-Vendas-Negociacao'!$L$4:$L$123))</f>
        <v/>
      </c>
      <c r="G21" s="15">
        <f>IF(OR($A21="",$C21=0),"",SUMIF('08-Vendas-Negociacao'!$C$4:$C$123,$A21,'08-Vendas-Negociacao'!$K$4:$K$123))</f>
        <v/>
      </c>
      <c r="H21" s="24">
        <f>IF(OR($A21="",$C21=0),"",SUMPRODUCT(('08-Vendas-Negociacao'!$C$4:$C$123=$A21)*('08-Vendas-Negociacao'!$G$4:$G$123&gt;='08-Vendas-Negociacao'!$E$4:$E$123))/$C21)</f>
        <v/>
      </c>
      <c r="I21" s="18">
        <f>IF(OR($A21="",$G21=""),"",RANK($G21,$G$4:$G$33))</f>
        <v/>
      </c>
      <c r="J21" s="18">
        <f>IF(OR($A21="",$C21=0),"",RANK($C21,$C$4:$C$33))</f>
        <v/>
      </c>
    </row>
    <row r="22">
      <c r="A22" s="18">
        <f>IF('04-Comercial'!$A22="","",'04-Comercial'!$A22)</f>
        <v/>
      </c>
      <c r="B22" s="18">
        <f>IF($A22="","",IFERROR(INDEX('04-Comercial'!$B$4:$B$33,MATCH($A22,'04-Comercial'!$A$4:$A$33,0)),""))</f>
        <v/>
      </c>
      <c r="C22" s="18">
        <f>IF($A22="","",COUNTIF('08-Vendas-Negociacao'!$C$4:$C$123,$A22))</f>
        <v/>
      </c>
      <c r="D22" s="15">
        <f>IF(OR($A22="",$C22=0),"",AVERAGEIF('08-Vendas-Negociacao'!$C$4:$C$123,$A22,'08-Vendas-Negociacao'!$G$4:$G$123))</f>
        <v/>
      </c>
      <c r="E22" s="24">
        <f>IF(OR($A22="",$C22=0),"",AVERAGEIF('08-Vendas-Negociacao'!$C$4:$C$123,$A22,'08-Vendas-Negociacao'!$I$4:$I$123))</f>
        <v/>
      </c>
      <c r="F22" s="24">
        <f>IF(OR($A22="",$C22=0),"",AVERAGEIF('08-Vendas-Negociacao'!$C$4:$C$123,$A22,'08-Vendas-Negociacao'!$L$4:$L$123))</f>
        <v/>
      </c>
      <c r="G22" s="15">
        <f>IF(OR($A22="",$C22=0),"",SUMIF('08-Vendas-Negociacao'!$C$4:$C$123,$A22,'08-Vendas-Negociacao'!$K$4:$K$123))</f>
        <v/>
      </c>
      <c r="H22" s="24">
        <f>IF(OR($A22="",$C22=0),"",SUMPRODUCT(('08-Vendas-Negociacao'!$C$4:$C$123=$A22)*('08-Vendas-Negociacao'!$G$4:$G$123&gt;='08-Vendas-Negociacao'!$E$4:$E$123))/$C22)</f>
        <v/>
      </c>
      <c r="I22" s="18">
        <f>IF(OR($A22="",$G22=""),"",RANK($G22,$G$4:$G$33))</f>
        <v/>
      </c>
      <c r="J22" s="18">
        <f>IF(OR($A22="",$C22=0),"",RANK($C22,$C$4:$C$33))</f>
        <v/>
      </c>
    </row>
    <row r="23">
      <c r="A23" s="18">
        <f>IF('04-Comercial'!$A23="","",'04-Comercial'!$A23)</f>
        <v/>
      </c>
      <c r="B23" s="18">
        <f>IF($A23="","",IFERROR(INDEX('04-Comercial'!$B$4:$B$33,MATCH($A23,'04-Comercial'!$A$4:$A$33,0)),""))</f>
        <v/>
      </c>
      <c r="C23" s="18">
        <f>IF($A23="","",COUNTIF('08-Vendas-Negociacao'!$C$4:$C$123,$A23))</f>
        <v/>
      </c>
      <c r="D23" s="15">
        <f>IF(OR($A23="",$C23=0),"",AVERAGEIF('08-Vendas-Negociacao'!$C$4:$C$123,$A23,'08-Vendas-Negociacao'!$G$4:$G$123))</f>
        <v/>
      </c>
      <c r="E23" s="24">
        <f>IF(OR($A23="",$C23=0),"",AVERAGEIF('08-Vendas-Negociacao'!$C$4:$C$123,$A23,'08-Vendas-Negociacao'!$I$4:$I$123))</f>
        <v/>
      </c>
      <c r="F23" s="24">
        <f>IF(OR($A23="",$C23=0),"",AVERAGEIF('08-Vendas-Negociacao'!$C$4:$C$123,$A23,'08-Vendas-Negociacao'!$L$4:$L$123))</f>
        <v/>
      </c>
      <c r="G23" s="15">
        <f>IF(OR($A23="",$C23=0),"",SUMIF('08-Vendas-Negociacao'!$C$4:$C$123,$A23,'08-Vendas-Negociacao'!$K$4:$K$123))</f>
        <v/>
      </c>
      <c r="H23" s="24">
        <f>IF(OR($A23="",$C23=0),"",SUMPRODUCT(('08-Vendas-Negociacao'!$C$4:$C$123=$A23)*('08-Vendas-Negociacao'!$G$4:$G$123&gt;='08-Vendas-Negociacao'!$E$4:$E$123))/$C23)</f>
        <v/>
      </c>
      <c r="I23" s="18">
        <f>IF(OR($A23="",$G23=""),"",RANK($G23,$G$4:$G$33))</f>
        <v/>
      </c>
      <c r="J23" s="18">
        <f>IF(OR($A23="",$C23=0),"",RANK($C23,$C$4:$C$33))</f>
        <v/>
      </c>
    </row>
    <row r="24">
      <c r="A24" s="18">
        <f>IF('04-Comercial'!$A24="","",'04-Comercial'!$A24)</f>
        <v/>
      </c>
      <c r="B24" s="18">
        <f>IF($A24="","",IFERROR(INDEX('04-Comercial'!$B$4:$B$33,MATCH($A24,'04-Comercial'!$A$4:$A$33,0)),""))</f>
        <v/>
      </c>
      <c r="C24" s="18">
        <f>IF($A24="","",COUNTIF('08-Vendas-Negociacao'!$C$4:$C$123,$A24))</f>
        <v/>
      </c>
      <c r="D24" s="15">
        <f>IF(OR($A24="",$C24=0),"",AVERAGEIF('08-Vendas-Negociacao'!$C$4:$C$123,$A24,'08-Vendas-Negociacao'!$G$4:$G$123))</f>
        <v/>
      </c>
      <c r="E24" s="24">
        <f>IF(OR($A24="",$C24=0),"",AVERAGEIF('08-Vendas-Negociacao'!$C$4:$C$123,$A24,'08-Vendas-Negociacao'!$I$4:$I$123))</f>
        <v/>
      </c>
      <c r="F24" s="24">
        <f>IF(OR($A24="",$C24=0),"",AVERAGEIF('08-Vendas-Negociacao'!$C$4:$C$123,$A24,'08-Vendas-Negociacao'!$L$4:$L$123))</f>
        <v/>
      </c>
      <c r="G24" s="15">
        <f>IF(OR($A24="",$C24=0),"",SUMIF('08-Vendas-Negociacao'!$C$4:$C$123,$A24,'08-Vendas-Negociacao'!$K$4:$K$123))</f>
        <v/>
      </c>
      <c r="H24" s="24">
        <f>IF(OR($A24="",$C24=0),"",SUMPRODUCT(('08-Vendas-Negociacao'!$C$4:$C$123=$A24)*('08-Vendas-Negociacao'!$G$4:$G$123&gt;='08-Vendas-Negociacao'!$E$4:$E$123))/$C24)</f>
        <v/>
      </c>
      <c r="I24" s="18">
        <f>IF(OR($A24="",$G24=""),"",RANK($G24,$G$4:$G$33))</f>
        <v/>
      </c>
      <c r="J24" s="18">
        <f>IF(OR($A24="",$C24=0),"",RANK($C24,$C$4:$C$33))</f>
        <v/>
      </c>
    </row>
    <row r="25">
      <c r="A25" s="18">
        <f>IF('04-Comercial'!$A25="","",'04-Comercial'!$A25)</f>
        <v/>
      </c>
      <c r="B25" s="18">
        <f>IF($A25="","",IFERROR(INDEX('04-Comercial'!$B$4:$B$33,MATCH($A25,'04-Comercial'!$A$4:$A$33,0)),""))</f>
        <v/>
      </c>
      <c r="C25" s="18">
        <f>IF($A25="","",COUNTIF('08-Vendas-Negociacao'!$C$4:$C$123,$A25))</f>
        <v/>
      </c>
      <c r="D25" s="15">
        <f>IF(OR($A25="",$C25=0),"",AVERAGEIF('08-Vendas-Negociacao'!$C$4:$C$123,$A25,'08-Vendas-Negociacao'!$G$4:$G$123))</f>
        <v/>
      </c>
      <c r="E25" s="24">
        <f>IF(OR($A25="",$C25=0),"",AVERAGEIF('08-Vendas-Negociacao'!$C$4:$C$123,$A25,'08-Vendas-Negociacao'!$I$4:$I$123))</f>
        <v/>
      </c>
      <c r="F25" s="24">
        <f>IF(OR($A25="",$C25=0),"",AVERAGEIF('08-Vendas-Negociacao'!$C$4:$C$123,$A25,'08-Vendas-Negociacao'!$L$4:$L$123))</f>
        <v/>
      </c>
      <c r="G25" s="15">
        <f>IF(OR($A25="",$C25=0),"",SUMIF('08-Vendas-Negociacao'!$C$4:$C$123,$A25,'08-Vendas-Negociacao'!$K$4:$K$123))</f>
        <v/>
      </c>
      <c r="H25" s="24">
        <f>IF(OR($A25="",$C25=0),"",SUMPRODUCT(('08-Vendas-Negociacao'!$C$4:$C$123=$A25)*('08-Vendas-Negociacao'!$G$4:$G$123&gt;='08-Vendas-Negociacao'!$E$4:$E$123))/$C25)</f>
        <v/>
      </c>
      <c r="I25" s="18">
        <f>IF(OR($A25="",$G25=""),"",RANK($G25,$G$4:$G$33))</f>
        <v/>
      </c>
      <c r="J25" s="18">
        <f>IF(OR($A25="",$C25=0),"",RANK($C25,$C$4:$C$33))</f>
        <v/>
      </c>
    </row>
    <row r="26">
      <c r="A26" s="18">
        <f>IF('04-Comercial'!$A26="","",'04-Comercial'!$A26)</f>
        <v/>
      </c>
      <c r="B26" s="18">
        <f>IF($A26="","",IFERROR(INDEX('04-Comercial'!$B$4:$B$33,MATCH($A26,'04-Comercial'!$A$4:$A$33,0)),""))</f>
        <v/>
      </c>
      <c r="C26" s="18">
        <f>IF($A26="","",COUNTIF('08-Vendas-Negociacao'!$C$4:$C$123,$A26))</f>
        <v/>
      </c>
      <c r="D26" s="15">
        <f>IF(OR($A26="",$C26=0),"",AVERAGEIF('08-Vendas-Negociacao'!$C$4:$C$123,$A26,'08-Vendas-Negociacao'!$G$4:$G$123))</f>
        <v/>
      </c>
      <c r="E26" s="24">
        <f>IF(OR($A26="",$C26=0),"",AVERAGEIF('08-Vendas-Negociacao'!$C$4:$C$123,$A26,'08-Vendas-Negociacao'!$I$4:$I$123))</f>
        <v/>
      </c>
      <c r="F26" s="24">
        <f>IF(OR($A26="",$C26=0),"",AVERAGEIF('08-Vendas-Negociacao'!$C$4:$C$123,$A26,'08-Vendas-Negociacao'!$L$4:$L$123))</f>
        <v/>
      </c>
      <c r="G26" s="15">
        <f>IF(OR($A26="",$C26=0),"",SUMIF('08-Vendas-Negociacao'!$C$4:$C$123,$A26,'08-Vendas-Negociacao'!$K$4:$K$123))</f>
        <v/>
      </c>
      <c r="H26" s="24">
        <f>IF(OR($A26="",$C26=0),"",SUMPRODUCT(('08-Vendas-Negociacao'!$C$4:$C$123=$A26)*('08-Vendas-Negociacao'!$G$4:$G$123&gt;='08-Vendas-Negociacao'!$E$4:$E$123))/$C26)</f>
        <v/>
      </c>
      <c r="I26" s="18">
        <f>IF(OR($A26="",$G26=""),"",RANK($G26,$G$4:$G$33))</f>
        <v/>
      </c>
      <c r="J26" s="18">
        <f>IF(OR($A26="",$C26=0),"",RANK($C26,$C$4:$C$33))</f>
        <v/>
      </c>
    </row>
    <row r="27">
      <c r="A27" s="18">
        <f>IF('04-Comercial'!$A27="","",'04-Comercial'!$A27)</f>
        <v/>
      </c>
      <c r="B27" s="18">
        <f>IF($A27="","",IFERROR(INDEX('04-Comercial'!$B$4:$B$33,MATCH($A27,'04-Comercial'!$A$4:$A$33,0)),""))</f>
        <v/>
      </c>
      <c r="C27" s="18">
        <f>IF($A27="","",COUNTIF('08-Vendas-Negociacao'!$C$4:$C$123,$A27))</f>
        <v/>
      </c>
      <c r="D27" s="15">
        <f>IF(OR($A27="",$C27=0),"",AVERAGEIF('08-Vendas-Negociacao'!$C$4:$C$123,$A27,'08-Vendas-Negociacao'!$G$4:$G$123))</f>
        <v/>
      </c>
      <c r="E27" s="24">
        <f>IF(OR($A27="",$C27=0),"",AVERAGEIF('08-Vendas-Negociacao'!$C$4:$C$123,$A27,'08-Vendas-Negociacao'!$I$4:$I$123))</f>
        <v/>
      </c>
      <c r="F27" s="24">
        <f>IF(OR($A27="",$C27=0),"",AVERAGEIF('08-Vendas-Negociacao'!$C$4:$C$123,$A27,'08-Vendas-Negociacao'!$L$4:$L$123))</f>
        <v/>
      </c>
      <c r="G27" s="15">
        <f>IF(OR($A27="",$C27=0),"",SUMIF('08-Vendas-Negociacao'!$C$4:$C$123,$A27,'08-Vendas-Negociacao'!$K$4:$K$123))</f>
        <v/>
      </c>
      <c r="H27" s="24">
        <f>IF(OR($A27="",$C27=0),"",SUMPRODUCT(('08-Vendas-Negociacao'!$C$4:$C$123=$A27)*('08-Vendas-Negociacao'!$G$4:$G$123&gt;='08-Vendas-Negociacao'!$E$4:$E$123))/$C27)</f>
        <v/>
      </c>
      <c r="I27" s="18">
        <f>IF(OR($A27="",$G27=""),"",RANK($G27,$G$4:$G$33))</f>
        <v/>
      </c>
      <c r="J27" s="18">
        <f>IF(OR($A27="",$C27=0),"",RANK($C27,$C$4:$C$33))</f>
        <v/>
      </c>
    </row>
    <row r="28">
      <c r="A28" s="18">
        <f>IF('04-Comercial'!$A28="","",'04-Comercial'!$A28)</f>
        <v/>
      </c>
      <c r="B28" s="18">
        <f>IF($A28="","",IFERROR(INDEX('04-Comercial'!$B$4:$B$33,MATCH($A28,'04-Comercial'!$A$4:$A$33,0)),""))</f>
        <v/>
      </c>
      <c r="C28" s="18">
        <f>IF($A28="","",COUNTIF('08-Vendas-Negociacao'!$C$4:$C$123,$A28))</f>
        <v/>
      </c>
      <c r="D28" s="15">
        <f>IF(OR($A28="",$C28=0),"",AVERAGEIF('08-Vendas-Negociacao'!$C$4:$C$123,$A28,'08-Vendas-Negociacao'!$G$4:$G$123))</f>
        <v/>
      </c>
      <c r="E28" s="24">
        <f>IF(OR($A28="",$C28=0),"",AVERAGEIF('08-Vendas-Negociacao'!$C$4:$C$123,$A28,'08-Vendas-Negociacao'!$I$4:$I$123))</f>
        <v/>
      </c>
      <c r="F28" s="24">
        <f>IF(OR($A28="",$C28=0),"",AVERAGEIF('08-Vendas-Negociacao'!$C$4:$C$123,$A28,'08-Vendas-Negociacao'!$L$4:$L$123))</f>
        <v/>
      </c>
      <c r="G28" s="15">
        <f>IF(OR($A28="",$C28=0),"",SUMIF('08-Vendas-Negociacao'!$C$4:$C$123,$A28,'08-Vendas-Negociacao'!$K$4:$K$123))</f>
        <v/>
      </c>
      <c r="H28" s="24">
        <f>IF(OR($A28="",$C28=0),"",SUMPRODUCT(('08-Vendas-Negociacao'!$C$4:$C$123=$A28)*('08-Vendas-Negociacao'!$G$4:$G$123&gt;='08-Vendas-Negociacao'!$E$4:$E$123))/$C28)</f>
        <v/>
      </c>
      <c r="I28" s="18">
        <f>IF(OR($A28="",$G28=""),"",RANK($G28,$G$4:$G$33))</f>
        <v/>
      </c>
      <c r="J28" s="18">
        <f>IF(OR($A28="",$C28=0),"",RANK($C28,$C$4:$C$33))</f>
        <v/>
      </c>
    </row>
    <row r="29">
      <c r="A29" s="18">
        <f>IF('04-Comercial'!$A29="","",'04-Comercial'!$A29)</f>
        <v/>
      </c>
      <c r="B29" s="18">
        <f>IF($A29="","",IFERROR(INDEX('04-Comercial'!$B$4:$B$33,MATCH($A29,'04-Comercial'!$A$4:$A$33,0)),""))</f>
        <v/>
      </c>
      <c r="C29" s="18">
        <f>IF($A29="","",COUNTIF('08-Vendas-Negociacao'!$C$4:$C$123,$A29))</f>
        <v/>
      </c>
      <c r="D29" s="15">
        <f>IF(OR($A29="",$C29=0),"",AVERAGEIF('08-Vendas-Negociacao'!$C$4:$C$123,$A29,'08-Vendas-Negociacao'!$G$4:$G$123))</f>
        <v/>
      </c>
      <c r="E29" s="24">
        <f>IF(OR($A29="",$C29=0),"",AVERAGEIF('08-Vendas-Negociacao'!$C$4:$C$123,$A29,'08-Vendas-Negociacao'!$I$4:$I$123))</f>
        <v/>
      </c>
      <c r="F29" s="24">
        <f>IF(OR($A29="",$C29=0),"",AVERAGEIF('08-Vendas-Negociacao'!$C$4:$C$123,$A29,'08-Vendas-Negociacao'!$L$4:$L$123))</f>
        <v/>
      </c>
      <c r="G29" s="15">
        <f>IF(OR($A29="",$C29=0),"",SUMIF('08-Vendas-Negociacao'!$C$4:$C$123,$A29,'08-Vendas-Negociacao'!$K$4:$K$123))</f>
        <v/>
      </c>
      <c r="H29" s="24">
        <f>IF(OR($A29="",$C29=0),"",SUMPRODUCT(('08-Vendas-Negociacao'!$C$4:$C$123=$A29)*('08-Vendas-Negociacao'!$G$4:$G$123&gt;='08-Vendas-Negociacao'!$E$4:$E$123))/$C29)</f>
        <v/>
      </c>
      <c r="I29" s="18">
        <f>IF(OR($A29="",$G29=""),"",RANK($G29,$G$4:$G$33))</f>
        <v/>
      </c>
      <c r="J29" s="18">
        <f>IF(OR($A29="",$C29=0),"",RANK($C29,$C$4:$C$33))</f>
        <v/>
      </c>
    </row>
    <row r="30">
      <c r="A30" s="18">
        <f>IF('04-Comercial'!$A30="","",'04-Comercial'!$A30)</f>
        <v/>
      </c>
      <c r="B30" s="18">
        <f>IF($A30="","",IFERROR(INDEX('04-Comercial'!$B$4:$B$33,MATCH($A30,'04-Comercial'!$A$4:$A$33,0)),""))</f>
        <v/>
      </c>
      <c r="C30" s="18">
        <f>IF($A30="","",COUNTIF('08-Vendas-Negociacao'!$C$4:$C$123,$A30))</f>
        <v/>
      </c>
      <c r="D30" s="15">
        <f>IF(OR($A30="",$C30=0),"",AVERAGEIF('08-Vendas-Negociacao'!$C$4:$C$123,$A30,'08-Vendas-Negociacao'!$G$4:$G$123))</f>
        <v/>
      </c>
      <c r="E30" s="24">
        <f>IF(OR($A30="",$C30=0),"",AVERAGEIF('08-Vendas-Negociacao'!$C$4:$C$123,$A30,'08-Vendas-Negociacao'!$I$4:$I$123))</f>
        <v/>
      </c>
      <c r="F30" s="24">
        <f>IF(OR($A30="",$C30=0),"",AVERAGEIF('08-Vendas-Negociacao'!$C$4:$C$123,$A30,'08-Vendas-Negociacao'!$L$4:$L$123))</f>
        <v/>
      </c>
      <c r="G30" s="15">
        <f>IF(OR($A30="",$C30=0),"",SUMIF('08-Vendas-Negociacao'!$C$4:$C$123,$A30,'08-Vendas-Negociacao'!$K$4:$K$123))</f>
        <v/>
      </c>
      <c r="H30" s="24">
        <f>IF(OR($A30="",$C30=0),"",SUMPRODUCT(('08-Vendas-Negociacao'!$C$4:$C$123=$A30)*('08-Vendas-Negociacao'!$G$4:$G$123&gt;='08-Vendas-Negociacao'!$E$4:$E$123))/$C30)</f>
        <v/>
      </c>
      <c r="I30" s="18">
        <f>IF(OR($A30="",$G30=""),"",RANK($G30,$G$4:$G$33))</f>
        <v/>
      </c>
      <c r="J30" s="18">
        <f>IF(OR($A30="",$C30=0),"",RANK($C30,$C$4:$C$33))</f>
        <v/>
      </c>
    </row>
    <row r="31">
      <c r="A31" s="18">
        <f>IF('04-Comercial'!$A31="","",'04-Comercial'!$A31)</f>
        <v/>
      </c>
      <c r="B31" s="18">
        <f>IF($A31="","",IFERROR(INDEX('04-Comercial'!$B$4:$B$33,MATCH($A31,'04-Comercial'!$A$4:$A$33,0)),""))</f>
        <v/>
      </c>
      <c r="C31" s="18">
        <f>IF($A31="","",COUNTIF('08-Vendas-Negociacao'!$C$4:$C$123,$A31))</f>
        <v/>
      </c>
      <c r="D31" s="15">
        <f>IF(OR($A31="",$C31=0),"",AVERAGEIF('08-Vendas-Negociacao'!$C$4:$C$123,$A31,'08-Vendas-Negociacao'!$G$4:$G$123))</f>
        <v/>
      </c>
      <c r="E31" s="24">
        <f>IF(OR($A31="",$C31=0),"",AVERAGEIF('08-Vendas-Negociacao'!$C$4:$C$123,$A31,'08-Vendas-Negociacao'!$I$4:$I$123))</f>
        <v/>
      </c>
      <c r="F31" s="24">
        <f>IF(OR($A31="",$C31=0),"",AVERAGEIF('08-Vendas-Negociacao'!$C$4:$C$123,$A31,'08-Vendas-Negociacao'!$L$4:$L$123))</f>
        <v/>
      </c>
      <c r="G31" s="15">
        <f>IF(OR($A31="",$C31=0),"",SUMIF('08-Vendas-Negociacao'!$C$4:$C$123,$A31,'08-Vendas-Negociacao'!$K$4:$K$123))</f>
        <v/>
      </c>
      <c r="H31" s="24">
        <f>IF(OR($A31="",$C31=0),"",SUMPRODUCT(('08-Vendas-Negociacao'!$C$4:$C$123=$A31)*('08-Vendas-Negociacao'!$G$4:$G$123&gt;='08-Vendas-Negociacao'!$E$4:$E$123))/$C31)</f>
        <v/>
      </c>
      <c r="I31" s="18">
        <f>IF(OR($A31="",$G31=""),"",RANK($G31,$G$4:$G$33))</f>
        <v/>
      </c>
      <c r="J31" s="18">
        <f>IF(OR($A31="",$C31=0),"",RANK($C31,$C$4:$C$33))</f>
        <v/>
      </c>
    </row>
    <row r="32">
      <c r="A32" s="18">
        <f>IF('04-Comercial'!$A32="","",'04-Comercial'!$A32)</f>
        <v/>
      </c>
      <c r="B32" s="18">
        <f>IF($A32="","",IFERROR(INDEX('04-Comercial'!$B$4:$B$33,MATCH($A32,'04-Comercial'!$A$4:$A$33,0)),""))</f>
        <v/>
      </c>
      <c r="C32" s="18">
        <f>IF($A32="","",COUNTIF('08-Vendas-Negociacao'!$C$4:$C$123,$A32))</f>
        <v/>
      </c>
      <c r="D32" s="15">
        <f>IF(OR($A32="",$C32=0),"",AVERAGEIF('08-Vendas-Negociacao'!$C$4:$C$123,$A32,'08-Vendas-Negociacao'!$G$4:$G$123))</f>
        <v/>
      </c>
      <c r="E32" s="24">
        <f>IF(OR($A32="",$C32=0),"",AVERAGEIF('08-Vendas-Negociacao'!$C$4:$C$123,$A32,'08-Vendas-Negociacao'!$I$4:$I$123))</f>
        <v/>
      </c>
      <c r="F32" s="24">
        <f>IF(OR($A32="",$C32=0),"",AVERAGEIF('08-Vendas-Negociacao'!$C$4:$C$123,$A32,'08-Vendas-Negociacao'!$L$4:$L$123))</f>
        <v/>
      </c>
      <c r="G32" s="15">
        <f>IF(OR($A32="",$C32=0),"",SUMIF('08-Vendas-Negociacao'!$C$4:$C$123,$A32,'08-Vendas-Negociacao'!$K$4:$K$123))</f>
        <v/>
      </c>
      <c r="H32" s="24">
        <f>IF(OR($A32="",$C32=0),"",SUMPRODUCT(('08-Vendas-Negociacao'!$C$4:$C$123=$A32)*('08-Vendas-Negociacao'!$G$4:$G$123&gt;='08-Vendas-Negociacao'!$E$4:$E$123))/$C32)</f>
        <v/>
      </c>
      <c r="I32" s="18">
        <f>IF(OR($A32="",$G32=""),"",RANK($G32,$G$4:$G$33))</f>
        <v/>
      </c>
      <c r="J32" s="18">
        <f>IF(OR($A32="",$C32=0),"",RANK($C32,$C$4:$C$33))</f>
        <v/>
      </c>
    </row>
    <row r="33">
      <c r="A33" s="18">
        <f>IF('04-Comercial'!$A33="","",'04-Comercial'!$A33)</f>
        <v/>
      </c>
      <c r="B33" s="18">
        <f>IF($A33="","",IFERROR(INDEX('04-Comercial'!$B$4:$B$33,MATCH($A33,'04-Comercial'!$A$4:$A$33,0)),""))</f>
        <v/>
      </c>
      <c r="C33" s="18">
        <f>IF($A33="","",COUNTIF('08-Vendas-Negociacao'!$C$4:$C$123,$A33))</f>
        <v/>
      </c>
      <c r="D33" s="15">
        <f>IF(OR($A33="",$C33=0),"",AVERAGEIF('08-Vendas-Negociacao'!$C$4:$C$123,$A33,'08-Vendas-Negociacao'!$G$4:$G$123))</f>
        <v/>
      </c>
      <c r="E33" s="24">
        <f>IF(OR($A33="",$C33=0),"",AVERAGEIF('08-Vendas-Negociacao'!$C$4:$C$123,$A33,'08-Vendas-Negociacao'!$I$4:$I$123))</f>
        <v/>
      </c>
      <c r="F33" s="24">
        <f>IF(OR($A33="",$C33=0),"",AVERAGEIF('08-Vendas-Negociacao'!$C$4:$C$123,$A33,'08-Vendas-Negociacao'!$L$4:$L$123))</f>
        <v/>
      </c>
      <c r="G33" s="15">
        <f>IF(OR($A33="",$C33=0),"",SUMIF('08-Vendas-Negociacao'!$C$4:$C$123,$A33,'08-Vendas-Negociacao'!$K$4:$K$123))</f>
        <v/>
      </c>
      <c r="H33" s="24">
        <f>IF(OR($A33="",$C33=0),"",SUMPRODUCT(('08-Vendas-Negociacao'!$C$4:$C$123=$A33)*('08-Vendas-Negociacao'!$G$4:$G$123&gt;='08-Vendas-Negociacao'!$E$4:$E$123))/$C33)</f>
        <v/>
      </c>
      <c r="I33" s="18">
        <f>IF(OR($A33="",$G33=""),"",RANK($G33,$G$4:$G$33))</f>
        <v/>
      </c>
      <c r="J33" s="18">
        <f>IF(OR($A33="",$C33=0),"",RANK($C33,$C$4:$C$33))</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outlineLevelCol="0"/>
  <cols>
    <col width="4" customWidth="1" min="1" max="1"/>
    <col width="46" customWidth="1" min="2" max="2"/>
    <col width="16" customWidth="1" min="3" max="3"/>
    <col width="46" customWidth="1" min="4" max="4"/>
  </cols>
  <sheetData>
    <row r="1">
      <c r="A1" s="1" t="inlineStr">
        <is>
          <t>Indicadores e KPIs Consolidados da Operação (Pilares 4, 8, 10)</t>
        </is>
      </c>
    </row>
    <row r="3">
      <c r="A3" s="4" t="inlineStr">
        <is>
          <t>#</t>
        </is>
      </c>
      <c r="B3" s="4" t="inlineStr">
        <is>
          <t>Indicador</t>
        </is>
      </c>
      <c r="C3" s="4" t="inlineStr">
        <is>
          <t>Valor</t>
        </is>
      </c>
      <c r="D3" s="4" t="inlineStr">
        <is>
          <t>Fórmula / Origem</t>
        </is>
      </c>
    </row>
    <row r="4">
      <c r="A4" s="5" t="n">
        <v>1</v>
      </c>
      <c r="B4" s="5" t="inlineStr">
        <is>
          <t>Lucro Médio por Moto Vendida (R$)</t>
        </is>
      </c>
      <c r="C4" s="15">
        <f>IFERROR(AVERAGEIF('08-Vendas-Negociacao'!$G$4:$G$123,"&gt;0",'08-Vendas-Negociacao'!$K$4:$K$123),0)</f>
        <v/>
      </c>
      <c r="D4" s="25" t="inlineStr">
        <is>
          <t>Calculado automaticamente a partir de 06/07/08</t>
        </is>
      </c>
    </row>
    <row r="5">
      <c r="A5" s="5" t="n">
        <v>2</v>
      </c>
      <c r="B5" s="5" t="inlineStr">
        <is>
          <t>Margem Líquida Média Realizada (%)</t>
        </is>
      </c>
      <c r="C5" s="24">
        <f>IFERROR(AVERAGEIF('08-Vendas-Negociacao'!$G$4:$G$123,"&gt;0",'08-Vendas-Negociacao'!$L$4:$L$123),0)</f>
        <v/>
      </c>
      <c r="D5" s="25" t="inlineStr">
        <is>
          <t>Calculado automaticamente a partir de 06/07/08</t>
        </is>
      </c>
    </row>
    <row r="6">
      <c r="A6" s="5" t="n">
        <v>3</v>
      </c>
      <c r="B6" s="5" t="inlineStr">
        <is>
          <t>Desconto Médio Praticado (%)</t>
        </is>
      </c>
      <c r="C6" s="24">
        <f>IFERROR(AVERAGEIF('08-Vendas-Negociacao'!$G$4:$G$123,"&gt;0",'08-Vendas-Negociacao'!$I$4:$I$123),0)</f>
        <v/>
      </c>
      <c r="D6" s="25" t="inlineStr">
        <is>
          <t>Calculado automaticamente a partir de 06/07/08</t>
        </is>
      </c>
    </row>
    <row r="7">
      <c r="A7" s="5" t="n">
        <v>4</v>
      </c>
      <c r="B7" s="5" t="inlineStr">
        <is>
          <t>Capital Investido Total em Estoque (R$)</t>
        </is>
      </c>
      <c r="C7" s="15">
        <f>SUMIF('01-Cadastro-Motos'!$K$4:$K$123,"&lt;&gt;Vendida",'01-Cadastro-Motos'!$I$4:$I$123)</f>
        <v/>
      </c>
      <c r="D7" s="25" t="inlineStr">
        <is>
          <t>Calculado automaticamente a partir de 06/07/08</t>
        </is>
      </c>
    </row>
    <row r="8">
      <c r="A8" s="5" t="n">
        <v>5</v>
      </c>
      <c r="B8" s="5" t="inlineStr">
        <is>
          <t>Capital Parado (Atenção + Crítico) (R$)</t>
        </is>
      </c>
      <c r="C8" s="15">
        <f>SUMIF('07-Estoque-Dinamica'!$F$4:$F$123,"Estoque Atenção",'07-Estoque-Dinamica'!$H$4:$H$123)+SUMIF('07-Estoque-Dinamica'!$F$4:$F$123,"Estoque Crítico",'07-Estoque-Dinamica'!$H$4:$H$123)</f>
        <v/>
      </c>
      <c r="D8" s="25" t="inlineStr">
        <is>
          <t>Calculado automaticamente a partir de 06/07/08</t>
        </is>
      </c>
    </row>
    <row r="9">
      <c r="A9" s="5" t="n">
        <v>6</v>
      </c>
      <c r="B9" s="5" t="inlineStr">
        <is>
          <t>Tempo Médio em Estoque — motos vendidas (dias)</t>
        </is>
      </c>
      <c r="C9" s="22">
        <f>IFERROR(AVERAGEIF('01-Cadastro-Motos'!$K$4:$K$123,"Vendida",'01-Cadastro-Motos'!$P$4:$P$123),0)</f>
        <v/>
      </c>
      <c r="D9" s="25" t="inlineStr">
        <is>
          <t>Calculado automaticamente a partir de 06/07/08</t>
        </is>
      </c>
    </row>
    <row r="10">
      <c r="A10" s="5" t="n">
        <v>7</v>
      </c>
      <c r="B10" s="5" t="inlineStr">
        <is>
          <t>Nº de Motos acima de 90 dias (Fase 4)</t>
        </is>
      </c>
      <c r="C10" s="22">
        <f>COUNTIF('07-Estoque-Dinamica'!$D$4:$D$123,"&gt;90")</f>
        <v/>
      </c>
      <c r="D10" s="25" t="inlineStr">
        <is>
          <t>Calculado automaticamente a partir de 06/07/08</t>
        </is>
      </c>
    </row>
    <row r="11">
      <c r="A11" s="5" t="n">
        <v>8</v>
      </c>
      <c r="B11" s="5" t="inlineStr">
        <is>
          <t>Nº de Motos em Estoque Crítico</t>
        </is>
      </c>
      <c r="C11" s="22">
        <f>COUNTIF('07-Estoque-Dinamica'!$F$4:$F$123,"Estoque Crítico")</f>
        <v/>
      </c>
      <c r="D11" s="25" t="inlineStr">
        <is>
          <t>Calculado automaticamente a partir de 06/07/08</t>
        </is>
      </c>
    </row>
    <row r="12">
      <c r="A12" s="5" t="n">
        <v>9</v>
      </c>
      <c r="B12" s="5" t="inlineStr">
        <is>
          <t>Nº de Motos em Estoque Premium</t>
        </is>
      </c>
      <c r="C12" s="22">
        <f>COUNTIF('07-Estoque-Dinamica'!$F$4:$F$123,"Estoque Premium")</f>
        <v/>
      </c>
      <c r="D12" s="25" t="inlineStr">
        <is>
          <t>Calculado automaticamente a partir de 06/07/08</t>
        </is>
      </c>
    </row>
    <row r="13">
      <c r="A13" s="5" t="n">
        <v>10</v>
      </c>
      <c r="B13" s="5" t="inlineStr">
        <is>
          <t>% de Vendas no Preço Comercial ou Acima</t>
        </is>
      </c>
      <c r="C13" s="24">
        <f>IFERROR(SUMPRODUCT(('08-Vendas-Negociacao'!$G$4:$G$123&lt;&gt;"")*('08-Vendas-Negociacao'!$G$4:$G$123&gt;='08-Vendas-Negociacao'!$E$4:$E$123))/SUMPRODUCT(('08-Vendas-Negociacao'!$G$4:$G$123&lt;&gt;"")*1),0)</f>
        <v/>
      </c>
      <c r="D13" s="25" t="inlineStr">
        <is>
          <t>Calculado automaticamente a partir de 06/07/08</t>
        </is>
      </c>
    </row>
    <row r="14">
      <c r="A14" s="5" t="n">
        <v>11</v>
      </c>
      <c r="B14" s="5" t="inlineStr">
        <is>
          <t>Nº de Vendas Abaixo do LP (não-conformidades)</t>
        </is>
      </c>
      <c r="C14" s="22">
        <f>COUNTIF('08-Vendas-Negociacao'!$J$4:$J$123,"SIM - abaixo do LP")</f>
        <v/>
      </c>
      <c r="D14" s="25" t="inlineStr">
        <is>
          <t>Calculado automaticamente a partir de 06/07/08</t>
        </is>
      </c>
    </row>
    <row r="15">
      <c r="A15" s="5" t="n">
        <v>12</v>
      </c>
      <c r="B15" s="5" t="inlineStr">
        <is>
          <t>ROI Médio (sobre motos vendidas)</t>
        </is>
      </c>
      <c r="C15" s="24">
        <f>IFERROR(AVERAGEIF('08-Vendas-Negociacao'!$G$4:$G$123,"&gt;0",'08-Vendas-Negociacao'!$K$4:$K$123)/AVERAGEIF('08-Vendas-Negociacao'!$G$4:$G$123,"&gt;0",'06-Precificacao'!$G$4:$G$123),0)</f>
        <v/>
      </c>
      <c r="D15" s="25" t="inlineStr">
        <is>
          <t>Calculado automaticamente a partir de 06/07/08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3"/>
  <sheetViews>
    <sheetView workbookViewId="0">
      <pane ySplit="3" topLeftCell="A4" activePane="bottomLeft" state="frozen"/>
      <selection pane="bottomLeft" activeCell="A1" sqref="A1"/>
    </sheetView>
  </sheetViews>
  <sheetFormatPr baseColWidth="8" defaultRowHeight="15" outlineLevelCol="0"/>
  <cols>
    <col width="12" customWidth="1" min="1" max="1"/>
    <col width="22" customWidth="1" min="2" max="2"/>
    <col width="16" customWidth="1" min="3" max="3"/>
    <col width="14" customWidth="1" min="4" max="4"/>
    <col width="14" customWidth="1" min="5" max="5"/>
    <col width="10" customWidth="1" min="6" max="6"/>
  </cols>
  <sheetData>
    <row r="1">
      <c r="A1" s="1" t="inlineStr">
        <is>
          <t>Curva ABC do Estoque por Contribuição de Lucro</t>
        </is>
      </c>
    </row>
    <row r="2">
      <c r="A2" s="2" t="inlineStr">
        <is>
          <t>Nota: ordene manualmente a coluna 'Lucro Gerado' (maior→menor) antes de ler o % Acumulado — a Curva ABC exige ordenação decrescente.</t>
        </is>
      </c>
    </row>
    <row r="3">
      <c r="A3" s="4" t="inlineStr">
        <is>
          <t>ID Moto</t>
        </is>
      </c>
      <c r="B3" s="4" t="inlineStr">
        <is>
          <t>Modelo (auto)</t>
        </is>
      </c>
      <c r="C3" s="4" t="inlineStr">
        <is>
          <t>Lucro Gerado (R$)</t>
        </is>
      </c>
      <c r="D3" s="4" t="inlineStr">
        <is>
          <t>% do Lucro Total</t>
        </is>
      </c>
      <c r="E3" s="4" t="inlineStr">
        <is>
          <t>% Acumulado</t>
        </is>
      </c>
      <c r="F3" s="4" t="inlineStr">
        <is>
          <t>Classe</t>
        </is>
      </c>
    </row>
    <row r="4">
      <c r="A4" s="18">
        <f>IF('01-Cadastro-Motos'!$A4="","",'01-Cadastro-Motos'!$A4)</f>
        <v/>
      </c>
      <c r="B4" s="18">
        <f>IF($A4="","",IFERROR(INDEX('01-Cadastro-Motos'!$B$4:$B$123,MATCH($A4,'01-Cadastro-Motos'!$A$4:$A$123,0)),""))</f>
        <v/>
      </c>
      <c r="C4" s="15">
        <f>IF($A4="","",IFERROR(INDEX('08-Vendas-Negociacao'!$K$4:$K$123,MATCH($A4,'08-Vendas-Negociacao'!$A$4:$A$123,0)),0))</f>
        <v/>
      </c>
      <c r="D4" s="24">
        <f>IF(OR($A4="",SUM($C$4:$C$123)=0),"",$C4/SUM($C$4:$C$123))</f>
        <v/>
      </c>
      <c r="E4" s="24">
        <f>IF($A4="","",SUM($D$4:$D4))</f>
        <v/>
      </c>
      <c r="F4" s="18">
        <f>IF(OR($A4="",$C4=0),"N/A - não vendida",IF($E4&lt;=0.8,"A",IF($E4&lt;=0.95,"B","C")))</f>
        <v/>
      </c>
    </row>
    <row r="5">
      <c r="A5" s="18">
        <f>IF('01-Cadastro-Motos'!$A5="","",'01-Cadastro-Motos'!$A5)</f>
        <v/>
      </c>
      <c r="B5" s="18">
        <f>IF($A5="","",IFERROR(INDEX('01-Cadastro-Motos'!$B$4:$B$123,MATCH($A5,'01-Cadastro-Motos'!$A$4:$A$123,0)),""))</f>
        <v/>
      </c>
      <c r="C5" s="15">
        <f>IF($A5="","",IFERROR(INDEX('08-Vendas-Negociacao'!$K$4:$K$123,MATCH($A5,'08-Vendas-Negociacao'!$A$4:$A$123,0)),0))</f>
        <v/>
      </c>
      <c r="D5" s="24">
        <f>IF(OR($A5="",SUM($C$4:$C$123)=0),"",$C5/SUM($C$4:$C$123))</f>
        <v/>
      </c>
      <c r="E5" s="24">
        <f>IF($A5="","",SUM($D$4:$D5))</f>
        <v/>
      </c>
      <c r="F5" s="18">
        <f>IF(OR($A5="",$C5=0),"N/A - não vendida",IF($E5&lt;=0.8,"A",IF($E5&lt;=0.95,"B","C")))</f>
        <v/>
      </c>
    </row>
    <row r="6">
      <c r="A6" s="18">
        <f>IF('01-Cadastro-Motos'!$A6="","",'01-Cadastro-Motos'!$A6)</f>
        <v/>
      </c>
      <c r="B6" s="18">
        <f>IF($A6="","",IFERROR(INDEX('01-Cadastro-Motos'!$B$4:$B$123,MATCH($A6,'01-Cadastro-Motos'!$A$4:$A$123,0)),""))</f>
        <v/>
      </c>
      <c r="C6" s="15">
        <f>IF($A6="","",IFERROR(INDEX('08-Vendas-Negociacao'!$K$4:$K$123,MATCH($A6,'08-Vendas-Negociacao'!$A$4:$A$123,0)),0))</f>
        <v/>
      </c>
      <c r="D6" s="24">
        <f>IF(OR($A6="",SUM($C$4:$C$123)=0),"",$C6/SUM($C$4:$C$123))</f>
        <v/>
      </c>
      <c r="E6" s="24">
        <f>IF($A6="","",SUM($D$4:$D6))</f>
        <v/>
      </c>
      <c r="F6" s="18">
        <f>IF(OR($A6="",$C6=0),"N/A - não vendida",IF($E6&lt;=0.8,"A",IF($E6&lt;=0.95,"B","C")))</f>
        <v/>
      </c>
    </row>
    <row r="7">
      <c r="A7" s="18">
        <f>IF('01-Cadastro-Motos'!$A7="","",'01-Cadastro-Motos'!$A7)</f>
        <v/>
      </c>
      <c r="B7" s="18">
        <f>IF($A7="","",IFERROR(INDEX('01-Cadastro-Motos'!$B$4:$B$123,MATCH($A7,'01-Cadastro-Motos'!$A$4:$A$123,0)),""))</f>
        <v/>
      </c>
      <c r="C7" s="15">
        <f>IF($A7="","",IFERROR(INDEX('08-Vendas-Negociacao'!$K$4:$K$123,MATCH($A7,'08-Vendas-Negociacao'!$A$4:$A$123,0)),0))</f>
        <v/>
      </c>
      <c r="D7" s="24">
        <f>IF(OR($A7="",SUM($C$4:$C$123)=0),"",$C7/SUM($C$4:$C$123))</f>
        <v/>
      </c>
      <c r="E7" s="24">
        <f>IF($A7="","",SUM($D$4:$D7))</f>
        <v/>
      </c>
      <c r="F7" s="18">
        <f>IF(OR($A7="",$C7=0),"N/A - não vendida",IF($E7&lt;=0.8,"A",IF($E7&lt;=0.95,"B","C")))</f>
        <v/>
      </c>
    </row>
    <row r="8">
      <c r="A8" s="18">
        <f>IF('01-Cadastro-Motos'!$A8="","",'01-Cadastro-Motos'!$A8)</f>
        <v/>
      </c>
      <c r="B8" s="18">
        <f>IF($A8="","",IFERROR(INDEX('01-Cadastro-Motos'!$B$4:$B$123,MATCH($A8,'01-Cadastro-Motos'!$A$4:$A$123,0)),""))</f>
        <v/>
      </c>
      <c r="C8" s="15">
        <f>IF($A8="","",IFERROR(INDEX('08-Vendas-Negociacao'!$K$4:$K$123,MATCH($A8,'08-Vendas-Negociacao'!$A$4:$A$123,0)),0))</f>
        <v/>
      </c>
      <c r="D8" s="24">
        <f>IF(OR($A8="",SUM($C$4:$C$123)=0),"",$C8/SUM($C$4:$C$123))</f>
        <v/>
      </c>
      <c r="E8" s="24">
        <f>IF($A8="","",SUM($D$4:$D8))</f>
        <v/>
      </c>
      <c r="F8" s="18">
        <f>IF(OR($A8="",$C8=0),"N/A - não vendida",IF($E8&lt;=0.8,"A",IF($E8&lt;=0.95,"B","C")))</f>
        <v/>
      </c>
    </row>
    <row r="9">
      <c r="A9" s="18">
        <f>IF('01-Cadastro-Motos'!$A9="","",'01-Cadastro-Motos'!$A9)</f>
        <v/>
      </c>
      <c r="B9" s="18">
        <f>IF($A9="","",IFERROR(INDEX('01-Cadastro-Motos'!$B$4:$B$123,MATCH($A9,'01-Cadastro-Motos'!$A$4:$A$123,0)),""))</f>
        <v/>
      </c>
      <c r="C9" s="15">
        <f>IF($A9="","",IFERROR(INDEX('08-Vendas-Negociacao'!$K$4:$K$123,MATCH($A9,'08-Vendas-Negociacao'!$A$4:$A$123,0)),0))</f>
        <v/>
      </c>
      <c r="D9" s="24">
        <f>IF(OR($A9="",SUM($C$4:$C$123)=0),"",$C9/SUM($C$4:$C$123))</f>
        <v/>
      </c>
      <c r="E9" s="24">
        <f>IF($A9="","",SUM($D$4:$D9))</f>
        <v/>
      </c>
      <c r="F9" s="18">
        <f>IF(OR($A9="",$C9=0),"N/A - não vendida",IF($E9&lt;=0.8,"A",IF($E9&lt;=0.95,"B","C")))</f>
        <v/>
      </c>
    </row>
    <row r="10">
      <c r="A10" s="18">
        <f>IF('01-Cadastro-Motos'!$A10="","",'01-Cadastro-Motos'!$A10)</f>
        <v/>
      </c>
      <c r="B10" s="18">
        <f>IF($A10="","",IFERROR(INDEX('01-Cadastro-Motos'!$B$4:$B$123,MATCH($A10,'01-Cadastro-Motos'!$A$4:$A$123,0)),""))</f>
        <v/>
      </c>
      <c r="C10" s="15">
        <f>IF($A10="","",IFERROR(INDEX('08-Vendas-Negociacao'!$K$4:$K$123,MATCH($A10,'08-Vendas-Negociacao'!$A$4:$A$123,0)),0))</f>
        <v/>
      </c>
      <c r="D10" s="24">
        <f>IF(OR($A10="",SUM($C$4:$C$123)=0),"",$C10/SUM($C$4:$C$123))</f>
        <v/>
      </c>
      <c r="E10" s="24">
        <f>IF($A10="","",SUM($D$4:$D10))</f>
        <v/>
      </c>
      <c r="F10" s="18">
        <f>IF(OR($A10="",$C10=0),"N/A - não vendida",IF($E10&lt;=0.8,"A",IF($E10&lt;=0.95,"B","C")))</f>
        <v/>
      </c>
    </row>
    <row r="11">
      <c r="A11" s="18">
        <f>IF('01-Cadastro-Motos'!$A11="","",'01-Cadastro-Motos'!$A11)</f>
        <v/>
      </c>
      <c r="B11" s="18">
        <f>IF($A11="","",IFERROR(INDEX('01-Cadastro-Motos'!$B$4:$B$123,MATCH($A11,'01-Cadastro-Motos'!$A$4:$A$123,0)),""))</f>
        <v/>
      </c>
      <c r="C11" s="15">
        <f>IF($A11="","",IFERROR(INDEX('08-Vendas-Negociacao'!$K$4:$K$123,MATCH($A11,'08-Vendas-Negociacao'!$A$4:$A$123,0)),0))</f>
        <v/>
      </c>
      <c r="D11" s="24">
        <f>IF(OR($A11="",SUM($C$4:$C$123)=0),"",$C11/SUM($C$4:$C$123))</f>
        <v/>
      </c>
      <c r="E11" s="24">
        <f>IF($A11="","",SUM($D$4:$D11))</f>
        <v/>
      </c>
      <c r="F11" s="18">
        <f>IF(OR($A11="",$C11=0),"N/A - não vendida",IF($E11&lt;=0.8,"A",IF($E11&lt;=0.95,"B","C")))</f>
        <v/>
      </c>
    </row>
    <row r="12">
      <c r="A12" s="18">
        <f>IF('01-Cadastro-Motos'!$A12="","",'01-Cadastro-Motos'!$A12)</f>
        <v/>
      </c>
      <c r="B12" s="18">
        <f>IF($A12="","",IFERROR(INDEX('01-Cadastro-Motos'!$B$4:$B$123,MATCH($A12,'01-Cadastro-Motos'!$A$4:$A$123,0)),""))</f>
        <v/>
      </c>
      <c r="C12" s="15">
        <f>IF($A12="","",IFERROR(INDEX('08-Vendas-Negociacao'!$K$4:$K$123,MATCH($A12,'08-Vendas-Negociacao'!$A$4:$A$123,0)),0))</f>
        <v/>
      </c>
      <c r="D12" s="24">
        <f>IF(OR($A12="",SUM($C$4:$C$123)=0),"",$C12/SUM($C$4:$C$123))</f>
        <v/>
      </c>
      <c r="E12" s="24">
        <f>IF($A12="","",SUM($D$4:$D12))</f>
        <v/>
      </c>
      <c r="F12" s="18">
        <f>IF(OR($A12="",$C12=0),"N/A - não vendida",IF($E12&lt;=0.8,"A",IF($E12&lt;=0.95,"B","C")))</f>
        <v/>
      </c>
    </row>
    <row r="13">
      <c r="A13" s="18">
        <f>IF('01-Cadastro-Motos'!$A13="","",'01-Cadastro-Motos'!$A13)</f>
        <v/>
      </c>
      <c r="B13" s="18">
        <f>IF($A13="","",IFERROR(INDEX('01-Cadastro-Motos'!$B$4:$B$123,MATCH($A13,'01-Cadastro-Motos'!$A$4:$A$123,0)),""))</f>
        <v/>
      </c>
      <c r="C13" s="15">
        <f>IF($A13="","",IFERROR(INDEX('08-Vendas-Negociacao'!$K$4:$K$123,MATCH($A13,'08-Vendas-Negociacao'!$A$4:$A$123,0)),0))</f>
        <v/>
      </c>
      <c r="D13" s="24">
        <f>IF(OR($A13="",SUM($C$4:$C$123)=0),"",$C13/SUM($C$4:$C$123))</f>
        <v/>
      </c>
      <c r="E13" s="24">
        <f>IF($A13="","",SUM($D$4:$D13))</f>
        <v/>
      </c>
      <c r="F13" s="18">
        <f>IF(OR($A13="",$C13=0),"N/A - não vendida",IF($E13&lt;=0.8,"A",IF($E13&lt;=0.95,"B","C")))</f>
        <v/>
      </c>
    </row>
    <row r="14">
      <c r="A14" s="18">
        <f>IF('01-Cadastro-Motos'!$A14="","",'01-Cadastro-Motos'!$A14)</f>
        <v/>
      </c>
      <c r="B14" s="18">
        <f>IF($A14="","",IFERROR(INDEX('01-Cadastro-Motos'!$B$4:$B$123,MATCH($A14,'01-Cadastro-Motos'!$A$4:$A$123,0)),""))</f>
        <v/>
      </c>
      <c r="C14" s="15">
        <f>IF($A14="","",IFERROR(INDEX('08-Vendas-Negociacao'!$K$4:$K$123,MATCH($A14,'08-Vendas-Negociacao'!$A$4:$A$123,0)),0))</f>
        <v/>
      </c>
      <c r="D14" s="24">
        <f>IF(OR($A14="",SUM($C$4:$C$123)=0),"",$C14/SUM($C$4:$C$123))</f>
        <v/>
      </c>
      <c r="E14" s="24">
        <f>IF($A14="","",SUM($D$4:$D14))</f>
        <v/>
      </c>
      <c r="F14" s="18">
        <f>IF(OR($A14="",$C14=0),"N/A - não vendida",IF($E14&lt;=0.8,"A",IF($E14&lt;=0.95,"B","C")))</f>
        <v/>
      </c>
    </row>
    <row r="15">
      <c r="A15" s="18">
        <f>IF('01-Cadastro-Motos'!$A15="","",'01-Cadastro-Motos'!$A15)</f>
        <v/>
      </c>
      <c r="B15" s="18">
        <f>IF($A15="","",IFERROR(INDEX('01-Cadastro-Motos'!$B$4:$B$123,MATCH($A15,'01-Cadastro-Motos'!$A$4:$A$123,0)),""))</f>
        <v/>
      </c>
      <c r="C15" s="15">
        <f>IF($A15="","",IFERROR(INDEX('08-Vendas-Negociacao'!$K$4:$K$123,MATCH($A15,'08-Vendas-Negociacao'!$A$4:$A$123,0)),0))</f>
        <v/>
      </c>
      <c r="D15" s="24">
        <f>IF(OR($A15="",SUM($C$4:$C$123)=0),"",$C15/SUM($C$4:$C$123))</f>
        <v/>
      </c>
      <c r="E15" s="24">
        <f>IF($A15="","",SUM($D$4:$D15))</f>
        <v/>
      </c>
      <c r="F15" s="18">
        <f>IF(OR($A15="",$C15=0),"N/A - não vendida",IF($E15&lt;=0.8,"A",IF($E15&lt;=0.95,"B","C")))</f>
        <v/>
      </c>
    </row>
    <row r="16">
      <c r="A16" s="18">
        <f>IF('01-Cadastro-Motos'!$A16="","",'01-Cadastro-Motos'!$A16)</f>
        <v/>
      </c>
      <c r="B16" s="18">
        <f>IF($A16="","",IFERROR(INDEX('01-Cadastro-Motos'!$B$4:$B$123,MATCH($A16,'01-Cadastro-Motos'!$A$4:$A$123,0)),""))</f>
        <v/>
      </c>
      <c r="C16" s="15">
        <f>IF($A16="","",IFERROR(INDEX('08-Vendas-Negociacao'!$K$4:$K$123,MATCH($A16,'08-Vendas-Negociacao'!$A$4:$A$123,0)),0))</f>
        <v/>
      </c>
      <c r="D16" s="24">
        <f>IF(OR($A16="",SUM($C$4:$C$123)=0),"",$C16/SUM($C$4:$C$123))</f>
        <v/>
      </c>
      <c r="E16" s="24">
        <f>IF($A16="","",SUM($D$4:$D16))</f>
        <v/>
      </c>
      <c r="F16" s="18">
        <f>IF(OR($A16="",$C16=0),"N/A - não vendida",IF($E16&lt;=0.8,"A",IF($E16&lt;=0.95,"B","C")))</f>
        <v/>
      </c>
    </row>
    <row r="17">
      <c r="A17" s="18">
        <f>IF('01-Cadastro-Motos'!$A17="","",'01-Cadastro-Motos'!$A17)</f>
        <v/>
      </c>
      <c r="B17" s="18">
        <f>IF($A17="","",IFERROR(INDEX('01-Cadastro-Motos'!$B$4:$B$123,MATCH($A17,'01-Cadastro-Motos'!$A$4:$A$123,0)),""))</f>
        <v/>
      </c>
      <c r="C17" s="15">
        <f>IF($A17="","",IFERROR(INDEX('08-Vendas-Negociacao'!$K$4:$K$123,MATCH($A17,'08-Vendas-Negociacao'!$A$4:$A$123,0)),0))</f>
        <v/>
      </c>
      <c r="D17" s="24">
        <f>IF(OR($A17="",SUM($C$4:$C$123)=0),"",$C17/SUM($C$4:$C$123))</f>
        <v/>
      </c>
      <c r="E17" s="24">
        <f>IF($A17="","",SUM($D$4:$D17))</f>
        <v/>
      </c>
      <c r="F17" s="18">
        <f>IF(OR($A17="",$C17=0),"N/A - não vendida",IF($E17&lt;=0.8,"A",IF($E17&lt;=0.95,"B","C")))</f>
        <v/>
      </c>
    </row>
    <row r="18">
      <c r="A18" s="18">
        <f>IF('01-Cadastro-Motos'!$A18="","",'01-Cadastro-Motos'!$A18)</f>
        <v/>
      </c>
      <c r="B18" s="18">
        <f>IF($A18="","",IFERROR(INDEX('01-Cadastro-Motos'!$B$4:$B$123,MATCH($A18,'01-Cadastro-Motos'!$A$4:$A$123,0)),""))</f>
        <v/>
      </c>
      <c r="C18" s="15">
        <f>IF($A18="","",IFERROR(INDEX('08-Vendas-Negociacao'!$K$4:$K$123,MATCH($A18,'08-Vendas-Negociacao'!$A$4:$A$123,0)),0))</f>
        <v/>
      </c>
      <c r="D18" s="24">
        <f>IF(OR($A18="",SUM($C$4:$C$123)=0),"",$C18/SUM($C$4:$C$123))</f>
        <v/>
      </c>
      <c r="E18" s="24">
        <f>IF($A18="","",SUM($D$4:$D18))</f>
        <v/>
      </c>
      <c r="F18" s="18">
        <f>IF(OR($A18="",$C18=0),"N/A - não vendida",IF($E18&lt;=0.8,"A",IF($E18&lt;=0.95,"B","C")))</f>
        <v/>
      </c>
    </row>
    <row r="19">
      <c r="A19" s="18">
        <f>IF('01-Cadastro-Motos'!$A19="","",'01-Cadastro-Motos'!$A19)</f>
        <v/>
      </c>
      <c r="B19" s="18">
        <f>IF($A19="","",IFERROR(INDEX('01-Cadastro-Motos'!$B$4:$B$123,MATCH($A19,'01-Cadastro-Motos'!$A$4:$A$123,0)),""))</f>
        <v/>
      </c>
      <c r="C19" s="15">
        <f>IF($A19="","",IFERROR(INDEX('08-Vendas-Negociacao'!$K$4:$K$123,MATCH($A19,'08-Vendas-Negociacao'!$A$4:$A$123,0)),0))</f>
        <v/>
      </c>
      <c r="D19" s="24">
        <f>IF(OR($A19="",SUM($C$4:$C$123)=0),"",$C19/SUM($C$4:$C$123))</f>
        <v/>
      </c>
      <c r="E19" s="24">
        <f>IF($A19="","",SUM($D$4:$D19))</f>
        <v/>
      </c>
      <c r="F19" s="18">
        <f>IF(OR($A19="",$C19=0),"N/A - não vendida",IF($E19&lt;=0.8,"A",IF($E19&lt;=0.95,"B","C")))</f>
        <v/>
      </c>
    </row>
    <row r="20">
      <c r="A20" s="18">
        <f>IF('01-Cadastro-Motos'!$A20="","",'01-Cadastro-Motos'!$A20)</f>
        <v/>
      </c>
      <c r="B20" s="18">
        <f>IF($A20="","",IFERROR(INDEX('01-Cadastro-Motos'!$B$4:$B$123,MATCH($A20,'01-Cadastro-Motos'!$A$4:$A$123,0)),""))</f>
        <v/>
      </c>
      <c r="C20" s="15">
        <f>IF($A20="","",IFERROR(INDEX('08-Vendas-Negociacao'!$K$4:$K$123,MATCH($A20,'08-Vendas-Negociacao'!$A$4:$A$123,0)),0))</f>
        <v/>
      </c>
      <c r="D20" s="24">
        <f>IF(OR($A20="",SUM($C$4:$C$123)=0),"",$C20/SUM($C$4:$C$123))</f>
        <v/>
      </c>
      <c r="E20" s="24">
        <f>IF($A20="","",SUM($D$4:$D20))</f>
        <v/>
      </c>
      <c r="F20" s="18">
        <f>IF(OR($A20="",$C20=0),"N/A - não vendida",IF($E20&lt;=0.8,"A",IF($E20&lt;=0.95,"B","C")))</f>
        <v/>
      </c>
    </row>
    <row r="21">
      <c r="A21" s="18">
        <f>IF('01-Cadastro-Motos'!$A21="","",'01-Cadastro-Motos'!$A21)</f>
        <v/>
      </c>
      <c r="B21" s="18">
        <f>IF($A21="","",IFERROR(INDEX('01-Cadastro-Motos'!$B$4:$B$123,MATCH($A21,'01-Cadastro-Motos'!$A$4:$A$123,0)),""))</f>
        <v/>
      </c>
      <c r="C21" s="15">
        <f>IF($A21="","",IFERROR(INDEX('08-Vendas-Negociacao'!$K$4:$K$123,MATCH($A21,'08-Vendas-Negociacao'!$A$4:$A$123,0)),0))</f>
        <v/>
      </c>
      <c r="D21" s="24">
        <f>IF(OR($A21="",SUM($C$4:$C$123)=0),"",$C21/SUM($C$4:$C$123))</f>
        <v/>
      </c>
      <c r="E21" s="24">
        <f>IF($A21="","",SUM($D$4:$D21))</f>
        <v/>
      </c>
      <c r="F21" s="18">
        <f>IF(OR($A21="",$C21=0),"N/A - não vendida",IF($E21&lt;=0.8,"A",IF($E21&lt;=0.95,"B","C")))</f>
        <v/>
      </c>
    </row>
    <row r="22">
      <c r="A22" s="18">
        <f>IF('01-Cadastro-Motos'!$A22="","",'01-Cadastro-Motos'!$A22)</f>
        <v/>
      </c>
      <c r="B22" s="18">
        <f>IF($A22="","",IFERROR(INDEX('01-Cadastro-Motos'!$B$4:$B$123,MATCH($A22,'01-Cadastro-Motos'!$A$4:$A$123,0)),""))</f>
        <v/>
      </c>
      <c r="C22" s="15">
        <f>IF($A22="","",IFERROR(INDEX('08-Vendas-Negociacao'!$K$4:$K$123,MATCH($A22,'08-Vendas-Negociacao'!$A$4:$A$123,0)),0))</f>
        <v/>
      </c>
      <c r="D22" s="24">
        <f>IF(OR($A22="",SUM($C$4:$C$123)=0),"",$C22/SUM($C$4:$C$123))</f>
        <v/>
      </c>
      <c r="E22" s="24">
        <f>IF($A22="","",SUM($D$4:$D22))</f>
        <v/>
      </c>
      <c r="F22" s="18">
        <f>IF(OR($A22="",$C22=0),"N/A - não vendida",IF($E22&lt;=0.8,"A",IF($E22&lt;=0.95,"B","C")))</f>
        <v/>
      </c>
    </row>
    <row r="23">
      <c r="A23" s="18">
        <f>IF('01-Cadastro-Motos'!$A23="","",'01-Cadastro-Motos'!$A23)</f>
        <v/>
      </c>
      <c r="B23" s="18">
        <f>IF($A23="","",IFERROR(INDEX('01-Cadastro-Motos'!$B$4:$B$123,MATCH($A23,'01-Cadastro-Motos'!$A$4:$A$123,0)),""))</f>
        <v/>
      </c>
      <c r="C23" s="15">
        <f>IF($A23="","",IFERROR(INDEX('08-Vendas-Negociacao'!$K$4:$K$123,MATCH($A23,'08-Vendas-Negociacao'!$A$4:$A$123,0)),0))</f>
        <v/>
      </c>
      <c r="D23" s="24">
        <f>IF(OR($A23="",SUM($C$4:$C$123)=0),"",$C23/SUM($C$4:$C$123))</f>
        <v/>
      </c>
      <c r="E23" s="24">
        <f>IF($A23="","",SUM($D$4:$D23))</f>
        <v/>
      </c>
      <c r="F23" s="18">
        <f>IF(OR($A23="",$C23=0),"N/A - não vendida",IF($E23&lt;=0.8,"A",IF($E23&lt;=0.95,"B","C")))</f>
        <v/>
      </c>
    </row>
    <row r="24">
      <c r="A24" s="18">
        <f>IF('01-Cadastro-Motos'!$A24="","",'01-Cadastro-Motos'!$A24)</f>
        <v/>
      </c>
      <c r="B24" s="18">
        <f>IF($A24="","",IFERROR(INDEX('01-Cadastro-Motos'!$B$4:$B$123,MATCH($A24,'01-Cadastro-Motos'!$A$4:$A$123,0)),""))</f>
        <v/>
      </c>
      <c r="C24" s="15">
        <f>IF($A24="","",IFERROR(INDEX('08-Vendas-Negociacao'!$K$4:$K$123,MATCH($A24,'08-Vendas-Negociacao'!$A$4:$A$123,0)),0))</f>
        <v/>
      </c>
      <c r="D24" s="24">
        <f>IF(OR($A24="",SUM($C$4:$C$123)=0),"",$C24/SUM($C$4:$C$123))</f>
        <v/>
      </c>
      <c r="E24" s="24">
        <f>IF($A24="","",SUM($D$4:$D24))</f>
        <v/>
      </c>
      <c r="F24" s="18">
        <f>IF(OR($A24="",$C24=0),"N/A - não vendida",IF($E24&lt;=0.8,"A",IF($E24&lt;=0.95,"B","C")))</f>
        <v/>
      </c>
    </row>
    <row r="25">
      <c r="A25" s="18">
        <f>IF('01-Cadastro-Motos'!$A25="","",'01-Cadastro-Motos'!$A25)</f>
        <v/>
      </c>
      <c r="B25" s="18">
        <f>IF($A25="","",IFERROR(INDEX('01-Cadastro-Motos'!$B$4:$B$123,MATCH($A25,'01-Cadastro-Motos'!$A$4:$A$123,0)),""))</f>
        <v/>
      </c>
      <c r="C25" s="15">
        <f>IF($A25="","",IFERROR(INDEX('08-Vendas-Negociacao'!$K$4:$K$123,MATCH($A25,'08-Vendas-Negociacao'!$A$4:$A$123,0)),0))</f>
        <v/>
      </c>
      <c r="D25" s="24">
        <f>IF(OR($A25="",SUM($C$4:$C$123)=0),"",$C25/SUM($C$4:$C$123))</f>
        <v/>
      </c>
      <c r="E25" s="24">
        <f>IF($A25="","",SUM($D$4:$D25))</f>
        <v/>
      </c>
      <c r="F25" s="18">
        <f>IF(OR($A25="",$C25=0),"N/A - não vendida",IF($E25&lt;=0.8,"A",IF($E25&lt;=0.95,"B","C")))</f>
        <v/>
      </c>
    </row>
    <row r="26">
      <c r="A26" s="18">
        <f>IF('01-Cadastro-Motos'!$A26="","",'01-Cadastro-Motos'!$A26)</f>
        <v/>
      </c>
      <c r="B26" s="18">
        <f>IF($A26="","",IFERROR(INDEX('01-Cadastro-Motos'!$B$4:$B$123,MATCH($A26,'01-Cadastro-Motos'!$A$4:$A$123,0)),""))</f>
        <v/>
      </c>
      <c r="C26" s="15">
        <f>IF($A26="","",IFERROR(INDEX('08-Vendas-Negociacao'!$K$4:$K$123,MATCH($A26,'08-Vendas-Negociacao'!$A$4:$A$123,0)),0))</f>
        <v/>
      </c>
      <c r="D26" s="24">
        <f>IF(OR($A26="",SUM($C$4:$C$123)=0),"",$C26/SUM($C$4:$C$123))</f>
        <v/>
      </c>
      <c r="E26" s="24">
        <f>IF($A26="","",SUM($D$4:$D26))</f>
        <v/>
      </c>
      <c r="F26" s="18">
        <f>IF(OR($A26="",$C26=0),"N/A - não vendida",IF($E26&lt;=0.8,"A",IF($E26&lt;=0.95,"B","C")))</f>
        <v/>
      </c>
    </row>
    <row r="27">
      <c r="A27" s="18">
        <f>IF('01-Cadastro-Motos'!$A27="","",'01-Cadastro-Motos'!$A27)</f>
        <v/>
      </c>
      <c r="B27" s="18">
        <f>IF($A27="","",IFERROR(INDEX('01-Cadastro-Motos'!$B$4:$B$123,MATCH($A27,'01-Cadastro-Motos'!$A$4:$A$123,0)),""))</f>
        <v/>
      </c>
      <c r="C27" s="15">
        <f>IF($A27="","",IFERROR(INDEX('08-Vendas-Negociacao'!$K$4:$K$123,MATCH($A27,'08-Vendas-Negociacao'!$A$4:$A$123,0)),0))</f>
        <v/>
      </c>
      <c r="D27" s="24">
        <f>IF(OR($A27="",SUM($C$4:$C$123)=0),"",$C27/SUM($C$4:$C$123))</f>
        <v/>
      </c>
      <c r="E27" s="24">
        <f>IF($A27="","",SUM($D$4:$D27))</f>
        <v/>
      </c>
      <c r="F27" s="18">
        <f>IF(OR($A27="",$C27=0),"N/A - não vendida",IF($E27&lt;=0.8,"A",IF($E27&lt;=0.95,"B","C")))</f>
        <v/>
      </c>
    </row>
    <row r="28">
      <c r="A28" s="18">
        <f>IF('01-Cadastro-Motos'!$A28="","",'01-Cadastro-Motos'!$A28)</f>
        <v/>
      </c>
      <c r="B28" s="18">
        <f>IF($A28="","",IFERROR(INDEX('01-Cadastro-Motos'!$B$4:$B$123,MATCH($A28,'01-Cadastro-Motos'!$A$4:$A$123,0)),""))</f>
        <v/>
      </c>
      <c r="C28" s="15">
        <f>IF($A28="","",IFERROR(INDEX('08-Vendas-Negociacao'!$K$4:$K$123,MATCH($A28,'08-Vendas-Negociacao'!$A$4:$A$123,0)),0))</f>
        <v/>
      </c>
      <c r="D28" s="24">
        <f>IF(OR($A28="",SUM($C$4:$C$123)=0),"",$C28/SUM($C$4:$C$123))</f>
        <v/>
      </c>
      <c r="E28" s="24">
        <f>IF($A28="","",SUM($D$4:$D28))</f>
        <v/>
      </c>
      <c r="F28" s="18">
        <f>IF(OR($A28="",$C28=0),"N/A - não vendida",IF($E28&lt;=0.8,"A",IF($E28&lt;=0.95,"B","C")))</f>
        <v/>
      </c>
    </row>
    <row r="29">
      <c r="A29" s="18">
        <f>IF('01-Cadastro-Motos'!$A29="","",'01-Cadastro-Motos'!$A29)</f>
        <v/>
      </c>
      <c r="B29" s="18">
        <f>IF($A29="","",IFERROR(INDEX('01-Cadastro-Motos'!$B$4:$B$123,MATCH($A29,'01-Cadastro-Motos'!$A$4:$A$123,0)),""))</f>
        <v/>
      </c>
      <c r="C29" s="15">
        <f>IF($A29="","",IFERROR(INDEX('08-Vendas-Negociacao'!$K$4:$K$123,MATCH($A29,'08-Vendas-Negociacao'!$A$4:$A$123,0)),0))</f>
        <v/>
      </c>
      <c r="D29" s="24">
        <f>IF(OR($A29="",SUM($C$4:$C$123)=0),"",$C29/SUM($C$4:$C$123))</f>
        <v/>
      </c>
      <c r="E29" s="24">
        <f>IF($A29="","",SUM($D$4:$D29))</f>
        <v/>
      </c>
      <c r="F29" s="18">
        <f>IF(OR($A29="",$C29=0),"N/A - não vendida",IF($E29&lt;=0.8,"A",IF($E29&lt;=0.95,"B","C")))</f>
        <v/>
      </c>
    </row>
    <row r="30">
      <c r="A30" s="18">
        <f>IF('01-Cadastro-Motos'!$A30="","",'01-Cadastro-Motos'!$A30)</f>
        <v/>
      </c>
      <c r="B30" s="18">
        <f>IF($A30="","",IFERROR(INDEX('01-Cadastro-Motos'!$B$4:$B$123,MATCH($A30,'01-Cadastro-Motos'!$A$4:$A$123,0)),""))</f>
        <v/>
      </c>
      <c r="C30" s="15">
        <f>IF($A30="","",IFERROR(INDEX('08-Vendas-Negociacao'!$K$4:$K$123,MATCH($A30,'08-Vendas-Negociacao'!$A$4:$A$123,0)),0))</f>
        <v/>
      </c>
      <c r="D30" s="24">
        <f>IF(OR($A30="",SUM($C$4:$C$123)=0),"",$C30/SUM($C$4:$C$123))</f>
        <v/>
      </c>
      <c r="E30" s="24">
        <f>IF($A30="","",SUM($D$4:$D30))</f>
        <v/>
      </c>
      <c r="F30" s="18">
        <f>IF(OR($A30="",$C30=0),"N/A - não vendida",IF($E30&lt;=0.8,"A",IF($E30&lt;=0.95,"B","C")))</f>
        <v/>
      </c>
    </row>
    <row r="31">
      <c r="A31" s="18">
        <f>IF('01-Cadastro-Motos'!$A31="","",'01-Cadastro-Motos'!$A31)</f>
        <v/>
      </c>
      <c r="B31" s="18">
        <f>IF($A31="","",IFERROR(INDEX('01-Cadastro-Motos'!$B$4:$B$123,MATCH($A31,'01-Cadastro-Motos'!$A$4:$A$123,0)),""))</f>
        <v/>
      </c>
      <c r="C31" s="15">
        <f>IF($A31="","",IFERROR(INDEX('08-Vendas-Negociacao'!$K$4:$K$123,MATCH($A31,'08-Vendas-Negociacao'!$A$4:$A$123,0)),0))</f>
        <v/>
      </c>
      <c r="D31" s="24">
        <f>IF(OR($A31="",SUM($C$4:$C$123)=0),"",$C31/SUM($C$4:$C$123))</f>
        <v/>
      </c>
      <c r="E31" s="24">
        <f>IF($A31="","",SUM($D$4:$D31))</f>
        <v/>
      </c>
      <c r="F31" s="18">
        <f>IF(OR($A31="",$C31=0),"N/A - não vendida",IF($E31&lt;=0.8,"A",IF($E31&lt;=0.95,"B","C")))</f>
        <v/>
      </c>
    </row>
    <row r="32">
      <c r="A32" s="18">
        <f>IF('01-Cadastro-Motos'!$A32="","",'01-Cadastro-Motos'!$A32)</f>
        <v/>
      </c>
      <c r="B32" s="18">
        <f>IF($A32="","",IFERROR(INDEX('01-Cadastro-Motos'!$B$4:$B$123,MATCH($A32,'01-Cadastro-Motos'!$A$4:$A$123,0)),""))</f>
        <v/>
      </c>
      <c r="C32" s="15">
        <f>IF($A32="","",IFERROR(INDEX('08-Vendas-Negociacao'!$K$4:$K$123,MATCH($A32,'08-Vendas-Negociacao'!$A$4:$A$123,0)),0))</f>
        <v/>
      </c>
      <c r="D32" s="24">
        <f>IF(OR($A32="",SUM($C$4:$C$123)=0),"",$C32/SUM($C$4:$C$123))</f>
        <v/>
      </c>
      <c r="E32" s="24">
        <f>IF($A32="","",SUM($D$4:$D32))</f>
        <v/>
      </c>
      <c r="F32" s="18">
        <f>IF(OR($A32="",$C32=0),"N/A - não vendida",IF($E32&lt;=0.8,"A",IF($E32&lt;=0.95,"B","C")))</f>
        <v/>
      </c>
    </row>
    <row r="33">
      <c r="A33" s="18">
        <f>IF('01-Cadastro-Motos'!$A33="","",'01-Cadastro-Motos'!$A33)</f>
        <v/>
      </c>
      <c r="B33" s="18">
        <f>IF($A33="","",IFERROR(INDEX('01-Cadastro-Motos'!$B$4:$B$123,MATCH($A33,'01-Cadastro-Motos'!$A$4:$A$123,0)),""))</f>
        <v/>
      </c>
      <c r="C33" s="15">
        <f>IF($A33="","",IFERROR(INDEX('08-Vendas-Negociacao'!$K$4:$K$123,MATCH($A33,'08-Vendas-Negociacao'!$A$4:$A$123,0)),0))</f>
        <v/>
      </c>
      <c r="D33" s="24">
        <f>IF(OR($A33="",SUM($C$4:$C$123)=0),"",$C33/SUM($C$4:$C$123))</f>
        <v/>
      </c>
      <c r="E33" s="24">
        <f>IF($A33="","",SUM($D$4:$D33))</f>
        <v/>
      </c>
      <c r="F33" s="18">
        <f>IF(OR($A33="",$C33=0),"N/A - não vendida",IF($E33&lt;=0.8,"A",IF($E33&lt;=0.95,"B","C")))</f>
        <v/>
      </c>
    </row>
    <row r="34">
      <c r="A34" s="18">
        <f>IF('01-Cadastro-Motos'!$A34="","",'01-Cadastro-Motos'!$A34)</f>
        <v/>
      </c>
      <c r="B34" s="18">
        <f>IF($A34="","",IFERROR(INDEX('01-Cadastro-Motos'!$B$4:$B$123,MATCH($A34,'01-Cadastro-Motos'!$A$4:$A$123,0)),""))</f>
        <v/>
      </c>
      <c r="C34" s="15">
        <f>IF($A34="","",IFERROR(INDEX('08-Vendas-Negociacao'!$K$4:$K$123,MATCH($A34,'08-Vendas-Negociacao'!$A$4:$A$123,0)),0))</f>
        <v/>
      </c>
      <c r="D34" s="24">
        <f>IF(OR($A34="",SUM($C$4:$C$123)=0),"",$C34/SUM($C$4:$C$123))</f>
        <v/>
      </c>
      <c r="E34" s="24">
        <f>IF($A34="","",SUM($D$4:$D34))</f>
        <v/>
      </c>
      <c r="F34" s="18">
        <f>IF(OR($A34="",$C34=0),"N/A - não vendida",IF($E34&lt;=0.8,"A",IF($E34&lt;=0.95,"B","C")))</f>
        <v/>
      </c>
    </row>
    <row r="35">
      <c r="A35" s="18">
        <f>IF('01-Cadastro-Motos'!$A35="","",'01-Cadastro-Motos'!$A35)</f>
        <v/>
      </c>
      <c r="B35" s="18">
        <f>IF($A35="","",IFERROR(INDEX('01-Cadastro-Motos'!$B$4:$B$123,MATCH($A35,'01-Cadastro-Motos'!$A$4:$A$123,0)),""))</f>
        <v/>
      </c>
      <c r="C35" s="15">
        <f>IF($A35="","",IFERROR(INDEX('08-Vendas-Negociacao'!$K$4:$K$123,MATCH($A35,'08-Vendas-Negociacao'!$A$4:$A$123,0)),0))</f>
        <v/>
      </c>
      <c r="D35" s="24">
        <f>IF(OR($A35="",SUM($C$4:$C$123)=0),"",$C35/SUM($C$4:$C$123))</f>
        <v/>
      </c>
      <c r="E35" s="24">
        <f>IF($A35="","",SUM($D$4:$D35))</f>
        <v/>
      </c>
      <c r="F35" s="18">
        <f>IF(OR($A35="",$C35=0),"N/A - não vendida",IF($E35&lt;=0.8,"A",IF($E35&lt;=0.95,"B","C")))</f>
        <v/>
      </c>
    </row>
    <row r="36">
      <c r="A36" s="18">
        <f>IF('01-Cadastro-Motos'!$A36="","",'01-Cadastro-Motos'!$A36)</f>
        <v/>
      </c>
      <c r="B36" s="18">
        <f>IF($A36="","",IFERROR(INDEX('01-Cadastro-Motos'!$B$4:$B$123,MATCH($A36,'01-Cadastro-Motos'!$A$4:$A$123,0)),""))</f>
        <v/>
      </c>
      <c r="C36" s="15">
        <f>IF($A36="","",IFERROR(INDEX('08-Vendas-Negociacao'!$K$4:$K$123,MATCH($A36,'08-Vendas-Negociacao'!$A$4:$A$123,0)),0))</f>
        <v/>
      </c>
      <c r="D36" s="24">
        <f>IF(OR($A36="",SUM($C$4:$C$123)=0),"",$C36/SUM($C$4:$C$123))</f>
        <v/>
      </c>
      <c r="E36" s="24">
        <f>IF($A36="","",SUM($D$4:$D36))</f>
        <v/>
      </c>
      <c r="F36" s="18">
        <f>IF(OR($A36="",$C36=0),"N/A - não vendida",IF($E36&lt;=0.8,"A",IF($E36&lt;=0.95,"B","C")))</f>
        <v/>
      </c>
    </row>
    <row r="37">
      <c r="A37" s="18">
        <f>IF('01-Cadastro-Motos'!$A37="","",'01-Cadastro-Motos'!$A37)</f>
        <v/>
      </c>
      <c r="B37" s="18">
        <f>IF($A37="","",IFERROR(INDEX('01-Cadastro-Motos'!$B$4:$B$123,MATCH($A37,'01-Cadastro-Motos'!$A$4:$A$123,0)),""))</f>
        <v/>
      </c>
      <c r="C37" s="15">
        <f>IF($A37="","",IFERROR(INDEX('08-Vendas-Negociacao'!$K$4:$K$123,MATCH($A37,'08-Vendas-Negociacao'!$A$4:$A$123,0)),0))</f>
        <v/>
      </c>
      <c r="D37" s="24">
        <f>IF(OR($A37="",SUM($C$4:$C$123)=0),"",$C37/SUM($C$4:$C$123))</f>
        <v/>
      </c>
      <c r="E37" s="24">
        <f>IF($A37="","",SUM($D$4:$D37))</f>
        <v/>
      </c>
      <c r="F37" s="18">
        <f>IF(OR($A37="",$C37=0),"N/A - não vendida",IF($E37&lt;=0.8,"A",IF($E37&lt;=0.95,"B","C")))</f>
        <v/>
      </c>
    </row>
    <row r="38">
      <c r="A38" s="18">
        <f>IF('01-Cadastro-Motos'!$A38="","",'01-Cadastro-Motos'!$A38)</f>
        <v/>
      </c>
      <c r="B38" s="18">
        <f>IF($A38="","",IFERROR(INDEX('01-Cadastro-Motos'!$B$4:$B$123,MATCH($A38,'01-Cadastro-Motos'!$A$4:$A$123,0)),""))</f>
        <v/>
      </c>
      <c r="C38" s="15">
        <f>IF($A38="","",IFERROR(INDEX('08-Vendas-Negociacao'!$K$4:$K$123,MATCH($A38,'08-Vendas-Negociacao'!$A$4:$A$123,0)),0))</f>
        <v/>
      </c>
      <c r="D38" s="24">
        <f>IF(OR($A38="",SUM($C$4:$C$123)=0),"",$C38/SUM($C$4:$C$123))</f>
        <v/>
      </c>
      <c r="E38" s="24">
        <f>IF($A38="","",SUM($D$4:$D38))</f>
        <v/>
      </c>
      <c r="F38" s="18">
        <f>IF(OR($A38="",$C38=0),"N/A - não vendida",IF($E38&lt;=0.8,"A",IF($E38&lt;=0.95,"B","C")))</f>
        <v/>
      </c>
    </row>
    <row r="39">
      <c r="A39" s="18">
        <f>IF('01-Cadastro-Motos'!$A39="","",'01-Cadastro-Motos'!$A39)</f>
        <v/>
      </c>
      <c r="B39" s="18">
        <f>IF($A39="","",IFERROR(INDEX('01-Cadastro-Motos'!$B$4:$B$123,MATCH($A39,'01-Cadastro-Motos'!$A$4:$A$123,0)),""))</f>
        <v/>
      </c>
      <c r="C39" s="15">
        <f>IF($A39="","",IFERROR(INDEX('08-Vendas-Negociacao'!$K$4:$K$123,MATCH($A39,'08-Vendas-Negociacao'!$A$4:$A$123,0)),0))</f>
        <v/>
      </c>
      <c r="D39" s="24">
        <f>IF(OR($A39="",SUM($C$4:$C$123)=0),"",$C39/SUM($C$4:$C$123))</f>
        <v/>
      </c>
      <c r="E39" s="24">
        <f>IF($A39="","",SUM($D$4:$D39))</f>
        <v/>
      </c>
      <c r="F39" s="18">
        <f>IF(OR($A39="",$C39=0),"N/A - não vendida",IF($E39&lt;=0.8,"A",IF($E39&lt;=0.95,"B","C")))</f>
        <v/>
      </c>
    </row>
    <row r="40">
      <c r="A40" s="18">
        <f>IF('01-Cadastro-Motos'!$A40="","",'01-Cadastro-Motos'!$A40)</f>
        <v/>
      </c>
      <c r="B40" s="18">
        <f>IF($A40="","",IFERROR(INDEX('01-Cadastro-Motos'!$B$4:$B$123,MATCH($A40,'01-Cadastro-Motos'!$A$4:$A$123,0)),""))</f>
        <v/>
      </c>
      <c r="C40" s="15">
        <f>IF($A40="","",IFERROR(INDEX('08-Vendas-Negociacao'!$K$4:$K$123,MATCH($A40,'08-Vendas-Negociacao'!$A$4:$A$123,0)),0))</f>
        <v/>
      </c>
      <c r="D40" s="24">
        <f>IF(OR($A40="",SUM($C$4:$C$123)=0),"",$C40/SUM($C$4:$C$123))</f>
        <v/>
      </c>
      <c r="E40" s="24">
        <f>IF($A40="","",SUM($D$4:$D40))</f>
        <v/>
      </c>
      <c r="F40" s="18">
        <f>IF(OR($A40="",$C40=0),"N/A - não vendida",IF($E40&lt;=0.8,"A",IF($E40&lt;=0.95,"B","C")))</f>
        <v/>
      </c>
    </row>
    <row r="41">
      <c r="A41" s="18">
        <f>IF('01-Cadastro-Motos'!$A41="","",'01-Cadastro-Motos'!$A41)</f>
        <v/>
      </c>
      <c r="B41" s="18">
        <f>IF($A41="","",IFERROR(INDEX('01-Cadastro-Motos'!$B$4:$B$123,MATCH($A41,'01-Cadastro-Motos'!$A$4:$A$123,0)),""))</f>
        <v/>
      </c>
      <c r="C41" s="15">
        <f>IF($A41="","",IFERROR(INDEX('08-Vendas-Negociacao'!$K$4:$K$123,MATCH($A41,'08-Vendas-Negociacao'!$A$4:$A$123,0)),0))</f>
        <v/>
      </c>
      <c r="D41" s="24">
        <f>IF(OR($A41="",SUM($C$4:$C$123)=0),"",$C41/SUM($C$4:$C$123))</f>
        <v/>
      </c>
      <c r="E41" s="24">
        <f>IF($A41="","",SUM($D$4:$D41))</f>
        <v/>
      </c>
      <c r="F41" s="18">
        <f>IF(OR($A41="",$C41=0),"N/A - não vendida",IF($E41&lt;=0.8,"A",IF($E41&lt;=0.95,"B","C")))</f>
        <v/>
      </c>
    </row>
    <row r="42">
      <c r="A42" s="18">
        <f>IF('01-Cadastro-Motos'!$A42="","",'01-Cadastro-Motos'!$A42)</f>
        <v/>
      </c>
      <c r="B42" s="18">
        <f>IF($A42="","",IFERROR(INDEX('01-Cadastro-Motos'!$B$4:$B$123,MATCH($A42,'01-Cadastro-Motos'!$A$4:$A$123,0)),""))</f>
        <v/>
      </c>
      <c r="C42" s="15">
        <f>IF($A42="","",IFERROR(INDEX('08-Vendas-Negociacao'!$K$4:$K$123,MATCH($A42,'08-Vendas-Negociacao'!$A$4:$A$123,0)),0))</f>
        <v/>
      </c>
      <c r="D42" s="24">
        <f>IF(OR($A42="",SUM($C$4:$C$123)=0),"",$C42/SUM($C$4:$C$123))</f>
        <v/>
      </c>
      <c r="E42" s="24">
        <f>IF($A42="","",SUM($D$4:$D42))</f>
        <v/>
      </c>
      <c r="F42" s="18">
        <f>IF(OR($A42="",$C42=0),"N/A - não vendida",IF($E42&lt;=0.8,"A",IF($E42&lt;=0.95,"B","C")))</f>
        <v/>
      </c>
    </row>
    <row r="43">
      <c r="A43" s="18">
        <f>IF('01-Cadastro-Motos'!$A43="","",'01-Cadastro-Motos'!$A43)</f>
        <v/>
      </c>
      <c r="B43" s="18">
        <f>IF($A43="","",IFERROR(INDEX('01-Cadastro-Motos'!$B$4:$B$123,MATCH($A43,'01-Cadastro-Motos'!$A$4:$A$123,0)),""))</f>
        <v/>
      </c>
      <c r="C43" s="15">
        <f>IF($A43="","",IFERROR(INDEX('08-Vendas-Negociacao'!$K$4:$K$123,MATCH($A43,'08-Vendas-Negociacao'!$A$4:$A$123,0)),0))</f>
        <v/>
      </c>
      <c r="D43" s="24">
        <f>IF(OR($A43="",SUM($C$4:$C$123)=0),"",$C43/SUM($C$4:$C$123))</f>
        <v/>
      </c>
      <c r="E43" s="24">
        <f>IF($A43="","",SUM($D$4:$D43))</f>
        <v/>
      </c>
      <c r="F43" s="18">
        <f>IF(OR($A43="",$C43=0),"N/A - não vendida",IF($E43&lt;=0.8,"A",IF($E43&lt;=0.95,"B","C")))</f>
        <v/>
      </c>
    </row>
    <row r="44">
      <c r="A44" s="18">
        <f>IF('01-Cadastro-Motos'!$A44="","",'01-Cadastro-Motos'!$A44)</f>
        <v/>
      </c>
      <c r="B44" s="18">
        <f>IF($A44="","",IFERROR(INDEX('01-Cadastro-Motos'!$B$4:$B$123,MATCH($A44,'01-Cadastro-Motos'!$A$4:$A$123,0)),""))</f>
        <v/>
      </c>
      <c r="C44" s="15">
        <f>IF($A44="","",IFERROR(INDEX('08-Vendas-Negociacao'!$K$4:$K$123,MATCH($A44,'08-Vendas-Negociacao'!$A$4:$A$123,0)),0))</f>
        <v/>
      </c>
      <c r="D44" s="24">
        <f>IF(OR($A44="",SUM($C$4:$C$123)=0),"",$C44/SUM($C$4:$C$123))</f>
        <v/>
      </c>
      <c r="E44" s="24">
        <f>IF($A44="","",SUM($D$4:$D44))</f>
        <v/>
      </c>
      <c r="F44" s="18">
        <f>IF(OR($A44="",$C44=0),"N/A - não vendida",IF($E44&lt;=0.8,"A",IF($E44&lt;=0.95,"B","C")))</f>
        <v/>
      </c>
    </row>
    <row r="45">
      <c r="A45" s="18">
        <f>IF('01-Cadastro-Motos'!$A45="","",'01-Cadastro-Motos'!$A45)</f>
        <v/>
      </c>
      <c r="B45" s="18">
        <f>IF($A45="","",IFERROR(INDEX('01-Cadastro-Motos'!$B$4:$B$123,MATCH($A45,'01-Cadastro-Motos'!$A$4:$A$123,0)),""))</f>
        <v/>
      </c>
      <c r="C45" s="15">
        <f>IF($A45="","",IFERROR(INDEX('08-Vendas-Negociacao'!$K$4:$K$123,MATCH($A45,'08-Vendas-Negociacao'!$A$4:$A$123,0)),0))</f>
        <v/>
      </c>
      <c r="D45" s="24">
        <f>IF(OR($A45="",SUM($C$4:$C$123)=0),"",$C45/SUM($C$4:$C$123))</f>
        <v/>
      </c>
      <c r="E45" s="24">
        <f>IF($A45="","",SUM($D$4:$D45))</f>
        <v/>
      </c>
      <c r="F45" s="18">
        <f>IF(OR($A45="",$C45=0),"N/A - não vendida",IF($E45&lt;=0.8,"A",IF($E45&lt;=0.95,"B","C")))</f>
        <v/>
      </c>
    </row>
    <row r="46">
      <c r="A46" s="18">
        <f>IF('01-Cadastro-Motos'!$A46="","",'01-Cadastro-Motos'!$A46)</f>
        <v/>
      </c>
      <c r="B46" s="18">
        <f>IF($A46="","",IFERROR(INDEX('01-Cadastro-Motos'!$B$4:$B$123,MATCH($A46,'01-Cadastro-Motos'!$A$4:$A$123,0)),""))</f>
        <v/>
      </c>
      <c r="C46" s="15">
        <f>IF($A46="","",IFERROR(INDEX('08-Vendas-Negociacao'!$K$4:$K$123,MATCH($A46,'08-Vendas-Negociacao'!$A$4:$A$123,0)),0))</f>
        <v/>
      </c>
      <c r="D46" s="24">
        <f>IF(OR($A46="",SUM($C$4:$C$123)=0),"",$C46/SUM($C$4:$C$123))</f>
        <v/>
      </c>
      <c r="E46" s="24">
        <f>IF($A46="","",SUM($D$4:$D46))</f>
        <v/>
      </c>
      <c r="F46" s="18">
        <f>IF(OR($A46="",$C46=0),"N/A - não vendida",IF($E46&lt;=0.8,"A",IF($E46&lt;=0.95,"B","C")))</f>
        <v/>
      </c>
    </row>
    <row r="47">
      <c r="A47" s="18">
        <f>IF('01-Cadastro-Motos'!$A47="","",'01-Cadastro-Motos'!$A47)</f>
        <v/>
      </c>
      <c r="B47" s="18">
        <f>IF($A47="","",IFERROR(INDEX('01-Cadastro-Motos'!$B$4:$B$123,MATCH($A47,'01-Cadastro-Motos'!$A$4:$A$123,0)),""))</f>
        <v/>
      </c>
      <c r="C47" s="15">
        <f>IF($A47="","",IFERROR(INDEX('08-Vendas-Negociacao'!$K$4:$K$123,MATCH($A47,'08-Vendas-Negociacao'!$A$4:$A$123,0)),0))</f>
        <v/>
      </c>
      <c r="D47" s="24">
        <f>IF(OR($A47="",SUM($C$4:$C$123)=0),"",$C47/SUM($C$4:$C$123))</f>
        <v/>
      </c>
      <c r="E47" s="24">
        <f>IF($A47="","",SUM($D$4:$D47))</f>
        <v/>
      </c>
      <c r="F47" s="18">
        <f>IF(OR($A47="",$C47=0),"N/A - não vendida",IF($E47&lt;=0.8,"A",IF($E47&lt;=0.95,"B","C")))</f>
        <v/>
      </c>
    </row>
    <row r="48">
      <c r="A48" s="18">
        <f>IF('01-Cadastro-Motos'!$A48="","",'01-Cadastro-Motos'!$A48)</f>
        <v/>
      </c>
      <c r="B48" s="18">
        <f>IF($A48="","",IFERROR(INDEX('01-Cadastro-Motos'!$B$4:$B$123,MATCH($A48,'01-Cadastro-Motos'!$A$4:$A$123,0)),""))</f>
        <v/>
      </c>
      <c r="C48" s="15">
        <f>IF($A48="","",IFERROR(INDEX('08-Vendas-Negociacao'!$K$4:$K$123,MATCH($A48,'08-Vendas-Negociacao'!$A$4:$A$123,0)),0))</f>
        <v/>
      </c>
      <c r="D48" s="24">
        <f>IF(OR($A48="",SUM($C$4:$C$123)=0),"",$C48/SUM($C$4:$C$123))</f>
        <v/>
      </c>
      <c r="E48" s="24">
        <f>IF($A48="","",SUM($D$4:$D48))</f>
        <v/>
      </c>
      <c r="F48" s="18">
        <f>IF(OR($A48="",$C48=0),"N/A - não vendida",IF($E48&lt;=0.8,"A",IF($E48&lt;=0.95,"B","C")))</f>
        <v/>
      </c>
    </row>
    <row r="49">
      <c r="A49" s="18">
        <f>IF('01-Cadastro-Motos'!$A49="","",'01-Cadastro-Motos'!$A49)</f>
        <v/>
      </c>
      <c r="B49" s="18">
        <f>IF($A49="","",IFERROR(INDEX('01-Cadastro-Motos'!$B$4:$B$123,MATCH($A49,'01-Cadastro-Motos'!$A$4:$A$123,0)),""))</f>
        <v/>
      </c>
      <c r="C49" s="15">
        <f>IF($A49="","",IFERROR(INDEX('08-Vendas-Negociacao'!$K$4:$K$123,MATCH($A49,'08-Vendas-Negociacao'!$A$4:$A$123,0)),0))</f>
        <v/>
      </c>
      <c r="D49" s="24">
        <f>IF(OR($A49="",SUM($C$4:$C$123)=0),"",$C49/SUM($C$4:$C$123))</f>
        <v/>
      </c>
      <c r="E49" s="24">
        <f>IF($A49="","",SUM($D$4:$D49))</f>
        <v/>
      </c>
      <c r="F49" s="18">
        <f>IF(OR($A49="",$C49=0),"N/A - não vendida",IF($E49&lt;=0.8,"A",IF($E49&lt;=0.95,"B","C")))</f>
        <v/>
      </c>
    </row>
    <row r="50">
      <c r="A50" s="18">
        <f>IF('01-Cadastro-Motos'!$A50="","",'01-Cadastro-Motos'!$A50)</f>
        <v/>
      </c>
      <c r="B50" s="18">
        <f>IF($A50="","",IFERROR(INDEX('01-Cadastro-Motos'!$B$4:$B$123,MATCH($A50,'01-Cadastro-Motos'!$A$4:$A$123,0)),""))</f>
        <v/>
      </c>
      <c r="C50" s="15">
        <f>IF($A50="","",IFERROR(INDEX('08-Vendas-Negociacao'!$K$4:$K$123,MATCH($A50,'08-Vendas-Negociacao'!$A$4:$A$123,0)),0))</f>
        <v/>
      </c>
      <c r="D50" s="24">
        <f>IF(OR($A50="",SUM($C$4:$C$123)=0),"",$C50/SUM($C$4:$C$123))</f>
        <v/>
      </c>
      <c r="E50" s="24">
        <f>IF($A50="","",SUM($D$4:$D50))</f>
        <v/>
      </c>
      <c r="F50" s="18">
        <f>IF(OR($A50="",$C50=0),"N/A - não vendida",IF($E50&lt;=0.8,"A",IF($E50&lt;=0.95,"B","C")))</f>
        <v/>
      </c>
    </row>
    <row r="51">
      <c r="A51" s="18">
        <f>IF('01-Cadastro-Motos'!$A51="","",'01-Cadastro-Motos'!$A51)</f>
        <v/>
      </c>
      <c r="B51" s="18">
        <f>IF($A51="","",IFERROR(INDEX('01-Cadastro-Motos'!$B$4:$B$123,MATCH($A51,'01-Cadastro-Motos'!$A$4:$A$123,0)),""))</f>
        <v/>
      </c>
      <c r="C51" s="15">
        <f>IF($A51="","",IFERROR(INDEX('08-Vendas-Negociacao'!$K$4:$K$123,MATCH($A51,'08-Vendas-Negociacao'!$A$4:$A$123,0)),0))</f>
        <v/>
      </c>
      <c r="D51" s="24">
        <f>IF(OR($A51="",SUM($C$4:$C$123)=0),"",$C51/SUM($C$4:$C$123))</f>
        <v/>
      </c>
      <c r="E51" s="24">
        <f>IF($A51="","",SUM($D$4:$D51))</f>
        <v/>
      </c>
      <c r="F51" s="18">
        <f>IF(OR($A51="",$C51=0),"N/A - não vendida",IF($E51&lt;=0.8,"A",IF($E51&lt;=0.95,"B","C")))</f>
        <v/>
      </c>
    </row>
    <row r="52">
      <c r="A52" s="18">
        <f>IF('01-Cadastro-Motos'!$A52="","",'01-Cadastro-Motos'!$A52)</f>
        <v/>
      </c>
      <c r="B52" s="18">
        <f>IF($A52="","",IFERROR(INDEX('01-Cadastro-Motos'!$B$4:$B$123,MATCH($A52,'01-Cadastro-Motos'!$A$4:$A$123,0)),""))</f>
        <v/>
      </c>
      <c r="C52" s="15">
        <f>IF($A52="","",IFERROR(INDEX('08-Vendas-Negociacao'!$K$4:$K$123,MATCH($A52,'08-Vendas-Negociacao'!$A$4:$A$123,0)),0))</f>
        <v/>
      </c>
      <c r="D52" s="24">
        <f>IF(OR($A52="",SUM($C$4:$C$123)=0),"",$C52/SUM($C$4:$C$123))</f>
        <v/>
      </c>
      <c r="E52" s="24">
        <f>IF($A52="","",SUM($D$4:$D52))</f>
        <v/>
      </c>
      <c r="F52" s="18">
        <f>IF(OR($A52="",$C52=0),"N/A - não vendida",IF($E52&lt;=0.8,"A",IF($E52&lt;=0.95,"B","C")))</f>
        <v/>
      </c>
    </row>
    <row r="53">
      <c r="A53" s="18">
        <f>IF('01-Cadastro-Motos'!$A53="","",'01-Cadastro-Motos'!$A53)</f>
        <v/>
      </c>
      <c r="B53" s="18">
        <f>IF($A53="","",IFERROR(INDEX('01-Cadastro-Motos'!$B$4:$B$123,MATCH($A53,'01-Cadastro-Motos'!$A$4:$A$123,0)),""))</f>
        <v/>
      </c>
      <c r="C53" s="15">
        <f>IF($A53="","",IFERROR(INDEX('08-Vendas-Negociacao'!$K$4:$K$123,MATCH($A53,'08-Vendas-Negociacao'!$A$4:$A$123,0)),0))</f>
        <v/>
      </c>
      <c r="D53" s="24">
        <f>IF(OR($A53="",SUM($C$4:$C$123)=0),"",$C53/SUM($C$4:$C$123))</f>
        <v/>
      </c>
      <c r="E53" s="24">
        <f>IF($A53="","",SUM($D$4:$D53))</f>
        <v/>
      </c>
      <c r="F53" s="18">
        <f>IF(OR($A53="",$C53=0),"N/A - não vendida",IF($E53&lt;=0.8,"A",IF($E53&lt;=0.95,"B","C")))</f>
        <v/>
      </c>
    </row>
    <row r="54">
      <c r="A54" s="18">
        <f>IF('01-Cadastro-Motos'!$A54="","",'01-Cadastro-Motos'!$A54)</f>
        <v/>
      </c>
      <c r="B54" s="18">
        <f>IF($A54="","",IFERROR(INDEX('01-Cadastro-Motos'!$B$4:$B$123,MATCH($A54,'01-Cadastro-Motos'!$A$4:$A$123,0)),""))</f>
        <v/>
      </c>
      <c r="C54" s="15">
        <f>IF($A54="","",IFERROR(INDEX('08-Vendas-Negociacao'!$K$4:$K$123,MATCH($A54,'08-Vendas-Negociacao'!$A$4:$A$123,0)),0))</f>
        <v/>
      </c>
      <c r="D54" s="24">
        <f>IF(OR($A54="",SUM($C$4:$C$123)=0),"",$C54/SUM($C$4:$C$123))</f>
        <v/>
      </c>
      <c r="E54" s="24">
        <f>IF($A54="","",SUM($D$4:$D54))</f>
        <v/>
      </c>
      <c r="F54" s="18">
        <f>IF(OR($A54="",$C54=0),"N/A - não vendida",IF($E54&lt;=0.8,"A",IF($E54&lt;=0.95,"B","C")))</f>
        <v/>
      </c>
    </row>
    <row r="55">
      <c r="A55" s="18">
        <f>IF('01-Cadastro-Motos'!$A55="","",'01-Cadastro-Motos'!$A55)</f>
        <v/>
      </c>
      <c r="B55" s="18">
        <f>IF($A55="","",IFERROR(INDEX('01-Cadastro-Motos'!$B$4:$B$123,MATCH($A55,'01-Cadastro-Motos'!$A$4:$A$123,0)),""))</f>
        <v/>
      </c>
      <c r="C55" s="15">
        <f>IF($A55="","",IFERROR(INDEX('08-Vendas-Negociacao'!$K$4:$K$123,MATCH($A55,'08-Vendas-Negociacao'!$A$4:$A$123,0)),0))</f>
        <v/>
      </c>
      <c r="D55" s="24">
        <f>IF(OR($A55="",SUM($C$4:$C$123)=0),"",$C55/SUM($C$4:$C$123))</f>
        <v/>
      </c>
      <c r="E55" s="24">
        <f>IF($A55="","",SUM($D$4:$D55))</f>
        <v/>
      </c>
      <c r="F55" s="18">
        <f>IF(OR($A55="",$C55=0),"N/A - não vendida",IF($E55&lt;=0.8,"A",IF($E55&lt;=0.95,"B","C")))</f>
        <v/>
      </c>
    </row>
    <row r="56">
      <c r="A56" s="18">
        <f>IF('01-Cadastro-Motos'!$A56="","",'01-Cadastro-Motos'!$A56)</f>
        <v/>
      </c>
      <c r="B56" s="18">
        <f>IF($A56="","",IFERROR(INDEX('01-Cadastro-Motos'!$B$4:$B$123,MATCH($A56,'01-Cadastro-Motos'!$A$4:$A$123,0)),""))</f>
        <v/>
      </c>
      <c r="C56" s="15">
        <f>IF($A56="","",IFERROR(INDEX('08-Vendas-Negociacao'!$K$4:$K$123,MATCH($A56,'08-Vendas-Negociacao'!$A$4:$A$123,0)),0))</f>
        <v/>
      </c>
      <c r="D56" s="24">
        <f>IF(OR($A56="",SUM($C$4:$C$123)=0),"",$C56/SUM($C$4:$C$123))</f>
        <v/>
      </c>
      <c r="E56" s="24">
        <f>IF($A56="","",SUM($D$4:$D56))</f>
        <v/>
      </c>
      <c r="F56" s="18">
        <f>IF(OR($A56="",$C56=0),"N/A - não vendida",IF($E56&lt;=0.8,"A",IF($E56&lt;=0.95,"B","C")))</f>
        <v/>
      </c>
    </row>
    <row r="57">
      <c r="A57" s="18">
        <f>IF('01-Cadastro-Motos'!$A57="","",'01-Cadastro-Motos'!$A57)</f>
        <v/>
      </c>
      <c r="B57" s="18">
        <f>IF($A57="","",IFERROR(INDEX('01-Cadastro-Motos'!$B$4:$B$123,MATCH($A57,'01-Cadastro-Motos'!$A$4:$A$123,0)),""))</f>
        <v/>
      </c>
      <c r="C57" s="15">
        <f>IF($A57="","",IFERROR(INDEX('08-Vendas-Negociacao'!$K$4:$K$123,MATCH($A57,'08-Vendas-Negociacao'!$A$4:$A$123,0)),0))</f>
        <v/>
      </c>
      <c r="D57" s="24">
        <f>IF(OR($A57="",SUM($C$4:$C$123)=0),"",$C57/SUM($C$4:$C$123))</f>
        <v/>
      </c>
      <c r="E57" s="24">
        <f>IF($A57="","",SUM($D$4:$D57))</f>
        <v/>
      </c>
      <c r="F57" s="18">
        <f>IF(OR($A57="",$C57=0),"N/A - não vendida",IF($E57&lt;=0.8,"A",IF($E57&lt;=0.95,"B","C")))</f>
        <v/>
      </c>
    </row>
    <row r="58">
      <c r="A58" s="18">
        <f>IF('01-Cadastro-Motos'!$A58="","",'01-Cadastro-Motos'!$A58)</f>
        <v/>
      </c>
      <c r="B58" s="18">
        <f>IF($A58="","",IFERROR(INDEX('01-Cadastro-Motos'!$B$4:$B$123,MATCH($A58,'01-Cadastro-Motos'!$A$4:$A$123,0)),""))</f>
        <v/>
      </c>
      <c r="C58" s="15">
        <f>IF($A58="","",IFERROR(INDEX('08-Vendas-Negociacao'!$K$4:$K$123,MATCH($A58,'08-Vendas-Negociacao'!$A$4:$A$123,0)),0))</f>
        <v/>
      </c>
      <c r="D58" s="24">
        <f>IF(OR($A58="",SUM($C$4:$C$123)=0),"",$C58/SUM($C$4:$C$123))</f>
        <v/>
      </c>
      <c r="E58" s="24">
        <f>IF($A58="","",SUM($D$4:$D58))</f>
        <v/>
      </c>
      <c r="F58" s="18">
        <f>IF(OR($A58="",$C58=0),"N/A - não vendida",IF($E58&lt;=0.8,"A",IF($E58&lt;=0.95,"B","C")))</f>
        <v/>
      </c>
    </row>
    <row r="59">
      <c r="A59" s="18">
        <f>IF('01-Cadastro-Motos'!$A59="","",'01-Cadastro-Motos'!$A59)</f>
        <v/>
      </c>
      <c r="B59" s="18">
        <f>IF($A59="","",IFERROR(INDEX('01-Cadastro-Motos'!$B$4:$B$123,MATCH($A59,'01-Cadastro-Motos'!$A$4:$A$123,0)),""))</f>
        <v/>
      </c>
      <c r="C59" s="15">
        <f>IF($A59="","",IFERROR(INDEX('08-Vendas-Negociacao'!$K$4:$K$123,MATCH($A59,'08-Vendas-Negociacao'!$A$4:$A$123,0)),0))</f>
        <v/>
      </c>
      <c r="D59" s="24">
        <f>IF(OR($A59="",SUM($C$4:$C$123)=0),"",$C59/SUM($C$4:$C$123))</f>
        <v/>
      </c>
      <c r="E59" s="24">
        <f>IF($A59="","",SUM($D$4:$D59))</f>
        <v/>
      </c>
      <c r="F59" s="18">
        <f>IF(OR($A59="",$C59=0),"N/A - não vendida",IF($E59&lt;=0.8,"A",IF($E59&lt;=0.95,"B","C")))</f>
        <v/>
      </c>
    </row>
    <row r="60">
      <c r="A60" s="18">
        <f>IF('01-Cadastro-Motos'!$A60="","",'01-Cadastro-Motos'!$A60)</f>
        <v/>
      </c>
      <c r="B60" s="18">
        <f>IF($A60="","",IFERROR(INDEX('01-Cadastro-Motos'!$B$4:$B$123,MATCH($A60,'01-Cadastro-Motos'!$A$4:$A$123,0)),""))</f>
        <v/>
      </c>
      <c r="C60" s="15">
        <f>IF($A60="","",IFERROR(INDEX('08-Vendas-Negociacao'!$K$4:$K$123,MATCH($A60,'08-Vendas-Negociacao'!$A$4:$A$123,0)),0))</f>
        <v/>
      </c>
      <c r="D60" s="24">
        <f>IF(OR($A60="",SUM($C$4:$C$123)=0),"",$C60/SUM($C$4:$C$123))</f>
        <v/>
      </c>
      <c r="E60" s="24">
        <f>IF($A60="","",SUM($D$4:$D60))</f>
        <v/>
      </c>
      <c r="F60" s="18">
        <f>IF(OR($A60="",$C60=0),"N/A - não vendida",IF($E60&lt;=0.8,"A",IF($E60&lt;=0.95,"B","C")))</f>
        <v/>
      </c>
    </row>
    <row r="61">
      <c r="A61" s="18">
        <f>IF('01-Cadastro-Motos'!$A61="","",'01-Cadastro-Motos'!$A61)</f>
        <v/>
      </c>
      <c r="B61" s="18">
        <f>IF($A61="","",IFERROR(INDEX('01-Cadastro-Motos'!$B$4:$B$123,MATCH($A61,'01-Cadastro-Motos'!$A$4:$A$123,0)),""))</f>
        <v/>
      </c>
      <c r="C61" s="15">
        <f>IF($A61="","",IFERROR(INDEX('08-Vendas-Negociacao'!$K$4:$K$123,MATCH($A61,'08-Vendas-Negociacao'!$A$4:$A$123,0)),0))</f>
        <v/>
      </c>
      <c r="D61" s="24">
        <f>IF(OR($A61="",SUM($C$4:$C$123)=0),"",$C61/SUM($C$4:$C$123))</f>
        <v/>
      </c>
      <c r="E61" s="24">
        <f>IF($A61="","",SUM($D$4:$D61))</f>
        <v/>
      </c>
      <c r="F61" s="18">
        <f>IF(OR($A61="",$C61=0),"N/A - não vendida",IF($E61&lt;=0.8,"A",IF($E61&lt;=0.95,"B","C")))</f>
        <v/>
      </c>
    </row>
    <row r="62">
      <c r="A62" s="18">
        <f>IF('01-Cadastro-Motos'!$A62="","",'01-Cadastro-Motos'!$A62)</f>
        <v/>
      </c>
      <c r="B62" s="18">
        <f>IF($A62="","",IFERROR(INDEX('01-Cadastro-Motos'!$B$4:$B$123,MATCH($A62,'01-Cadastro-Motos'!$A$4:$A$123,0)),""))</f>
        <v/>
      </c>
      <c r="C62" s="15">
        <f>IF($A62="","",IFERROR(INDEX('08-Vendas-Negociacao'!$K$4:$K$123,MATCH($A62,'08-Vendas-Negociacao'!$A$4:$A$123,0)),0))</f>
        <v/>
      </c>
      <c r="D62" s="24">
        <f>IF(OR($A62="",SUM($C$4:$C$123)=0),"",$C62/SUM($C$4:$C$123))</f>
        <v/>
      </c>
      <c r="E62" s="24">
        <f>IF($A62="","",SUM($D$4:$D62))</f>
        <v/>
      </c>
      <c r="F62" s="18">
        <f>IF(OR($A62="",$C62=0),"N/A - não vendida",IF($E62&lt;=0.8,"A",IF($E62&lt;=0.95,"B","C")))</f>
        <v/>
      </c>
    </row>
    <row r="63">
      <c r="A63" s="18">
        <f>IF('01-Cadastro-Motos'!$A63="","",'01-Cadastro-Motos'!$A63)</f>
        <v/>
      </c>
      <c r="B63" s="18">
        <f>IF($A63="","",IFERROR(INDEX('01-Cadastro-Motos'!$B$4:$B$123,MATCH($A63,'01-Cadastro-Motos'!$A$4:$A$123,0)),""))</f>
        <v/>
      </c>
      <c r="C63" s="15">
        <f>IF($A63="","",IFERROR(INDEX('08-Vendas-Negociacao'!$K$4:$K$123,MATCH($A63,'08-Vendas-Negociacao'!$A$4:$A$123,0)),0))</f>
        <v/>
      </c>
      <c r="D63" s="24">
        <f>IF(OR($A63="",SUM($C$4:$C$123)=0),"",$C63/SUM($C$4:$C$123))</f>
        <v/>
      </c>
      <c r="E63" s="24">
        <f>IF($A63="","",SUM($D$4:$D63))</f>
        <v/>
      </c>
      <c r="F63" s="18">
        <f>IF(OR($A63="",$C63=0),"N/A - não vendida",IF($E63&lt;=0.8,"A",IF($E63&lt;=0.95,"B","C")))</f>
        <v/>
      </c>
    </row>
    <row r="64">
      <c r="A64" s="18">
        <f>IF('01-Cadastro-Motos'!$A64="","",'01-Cadastro-Motos'!$A64)</f>
        <v/>
      </c>
      <c r="B64" s="18">
        <f>IF($A64="","",IFERROR(INDEX('01-Cadastro-Motos'!$B$4:$B$123,MATCH($A64,'01-Cadastro-Motos'!$A$4:$A$123,0)),""))</f>
        <v/>
      </c>
      <c r="C64" s="15">
        <f>IF($A64="","",IFERROR(INDEX('08-Vendas-Negociacao'!$K$4:$K$123,MATCH($A64,'08-Vendas-Negociacao'!$A$4:$A$123,0)),0))</f>
        <v/>
      </c>
      <c r="D64" s="24">
        <f>IF(OR($A64="",SUM($C$4:$C$123)=0),"",$C64/SUM($C$4:$C$123))</f>
        <v/>
      </c>
      <c r="E64" s="24">
        <f>IF($A64="","",SUM($D$4:$D64))</f>
        <v/>
      </c>
      <c r="F64" s="18">
        <f>IF(OR($A64="",$C64=0),"N/A - não vendida",IF($E64&lt;=0.8,"A",IF($E64&lt;=0.95,"B","C")))</f>
        <v/>
      </c>
    </row>
    <row r="65">
      <c r="A65" s="18">
        <f>IF('01-Cadastro-Motos'!$A65="","",'01-Cadastro-Motos'!$A65)</f>
        <v/>
      </c>
      <c r="B65" s="18">
        <f>IF($A65="","",IFERROR(INDEX('01-Cadastro-Motos'!$B$4:$B$123,MATCH($A65,'01-Cadastro-Motos'!$A$4:$A$123,0)),""))</f>
        <v/>
      </c>
      <c r="C65" s="15">
        <f>IF($A65="","",IFERROR(INDEX('08-Vendas-Negociacao'!$K$4:$K$123,MATCH($A65,'08-Vendas-Negociacao'!$A$4:$A$123,0)),0))</f>
        <v/>
      </c>
      <c r="D65" s="24">
        <f>IF(OR($A65="",SUM($C$4:$C$123)=0),"",$C65/SUM($C$4:$C$123))</f>
        <v/>
      </c>
      <c r="E65" s="24">
        <f>IF($A65="","",SUM($D$4:$D65))</f>
        <v/>
      </c>
      <c r="F65" s="18">
        <f>IF(OR($A65="",$C65=0),"N/A - não vendida",IF($E65&lt;=0.8,"A",IF($E65&lt;=0.95,"B","C")))</f>
        <v/>
      </c>
    </row>
    <row r="66">
      <c r="A66" s="18">
        <f>IF('01-Cadastro-Motos'!$A66="","",'01-Cadastro-Motos'!$A66)</f>
        <v/>
      </c>
      <c r="B66" s="18">
        <f>IF($A66="","",IFERROR(INDEX('01-Cadastro-Motos'!$B$4:$B$123,MATCH($A66,'01-Cadastro-Motos'!$A$4:$A$123,0)),""))</f>
        <v/>
      </c>
      <c r="C66" s="15">
        <f>IF($A66="","",IFERROR(INDEX('08-Vendas-Negociacao'!$K$4:$K$123,MATCH($A66,'08-Vendas-Negociacao'!$A$4:$A$123,0)),0))</f>
        <v/>
      </c>
      <c r="D66" s="24">
        <f>IF(OR($A66="",SUM($C$4:$C$123)=0),"",$C66/SUM($C$4:$C$123))</f>
        <v/>
      </c>
      <c r="E66" s="24">
        <f>IF($A66="","",SUM($D$4:$D66))</f>
        <v/>
      </c>
      <c r="F66" s="18">
        <f>IF(OR($A66="",$C66=0),"N/A - não vendida",IF($E66&lt;=0.8,"A",IF($E66&lt;=0.95,"B","C")))</f>
        <v/>
      </c>
    </row>
    <row r="67">
      <c r="A67" s="18">
        <f>IF('01-Cadastro-Motos'!$A67="","",'01-Cadastro-Motos'!$A67)</f>
        <v/>
      </c>
      <c r="B67" s="18">
        <f>IF($A67="","",IFERROR(INDEX('01-Cadastro-Motos'!$B$4:$B$123,MATCH($A67,'01-Cadastro-Motos'!$A$4:$A$123,0)),""))</f>
        <v/>
      </c>
      <c r="C67" s="15">
        <f>IF($A67="","",IFERROR(INDEX('08-Vendas-Negociacao'!$K$4:$K$123,MATCH($A67,'08-Vendas-Negociacao'!$A$4:$A$123,0)),0))</f>
        <v/>
      </c>
      <c r="D67" s="24">
        <f>IF(OR($A67="",SUM($C$4:$C$123)=0),"",$C67/SUM($C$4:$C$123))</f>
        <v/>
      </c>
      <c r="E67" s="24">
        <f>IF($A67="","",SUM($D$4:$D67))</f>
        <v/>
      </c>
      <c r="F67" s="18">
        <f>IF(OR($A67="",$C67=0),"N/A - não vendida",IF($E67&lt;=0.8,"A",IF($E67&lt;=0.95,"B","C")))</f>
        <v/>
      </c>
    </row>
    <row r="68">
      <c r="A68" s="18">
        <f>IF('01-Cadastro-Motos'!$A68="","",'01-Cadastro-Motos'!$A68)</f>
        <v/>
      </c>
      <c r="B68" s="18">
        <f>IF($A68="","",IFERROR(INDEX('01-Cadastro-Motos'!$B$4:$B$123,MATCH($A68,'01-Cadastro-Motos'!$A$4:$A$123,0)),""))</f>
        <v/>
      </c>
      <c r="C68" s="15">
        <f>IF($A68="","",IFERROR(INDEX('08-Vendas-Negociacao'!$K$4:$K$123,MATCH($A68,'08-Vendas-Negociacao'!$A$4:$A$123,0)),0))</f>
        <v/>
      </c>
      <c r="D68" s="24">
        <f>IF(OR($A68="",SUM($C$4:$C$123)=0),"",$C68/SUM($C$4:$C$123))</f>
        <v/>
      </c>
      <c r="E68" s="24">
        <f>IF($A68="","",SUM($D$4:$D68))</f>
        <v/>
      </c>
      <c r="F68" s="18">
        <f>IF(OR($A68="",$C68=0),"N/A - não vendida",IF($E68&lt;=0.8,"A",IF($E68&lt;=0.95,"B","C")))</f>
        <v/>
      </c>
    </row>
    <row r="69">
      <c r="A69" s="18">
        <f>IF('01-Cadastro-Motos'!$A69="","",'01-Cadastro-Motos'!$A69)</f>
        <v/>
      </c>
      <c r="B69" s="18">
        <f>IF($A69="","",IFERROR(INDEX('01-Cadastro-Motos'!$B$4:$B$123,MATCH($A69,'01-Cadastro-Motos'!$A$4:$A$123,0)),""))</f>
        <v/>
      </c>
      <c r="C69" s="15">
        <f>IF($A69="","",IFERROR(INDEX('08-Vendas-Negociacao'!$K$4:$K$123,MATCH($A69,'08-Vendas-Negociacao'!$A$4:$A$123,0)),0))</f>
        <v/>
      </c>
      <c r="D69" s="24">
        <f>IF(OR($A69="",SUM($C$4:$C$123)=0),"",$C69/SUM($C$4:$C$123))</f>
        <v/>
      </c>
      <c r="E69" s="24">
        <f>IF($A69="","",SUM($D$4:$D69))</f>
        <v/>
      </c>
      <c r="F69" s="18">
        <f>IF(OR($A69="",$C69=0),"N/A - não vendida",IF($E69&lt;=0.8,"A",IF($E69&lt;=0.95,"B","C")))</f>
        <v/>
      </c>
    </row>
    <row r="70">
      <c r="A70" s="18">
        <f>IF('01-Cadastro-Motos'!$A70="","",'01-Cadastro-Motos'!$A70)</f>
        <v/>
      </c>
      <c r="B70" s="18">
        <f>IF($A70="","",IFERROR(INDEX('01-Cadastro-Motos'!$B$4:$B$123,MATCH($A70,'01-Cadastro-Motos'!$A$4:$A$123,0)),""))</f>
        <v/>
      </c>
      <c r="C70" s="15">
        <f>IF($A70="","",IFERROR(INDEX('08-Vendas-Negociacao'!$K$4:$K$123,MATCH($A70,'08-Vendas-Negociacao'!$A$4:$A$123,0)),0))</f>
        <v/>
      </c>
      <c r="D70" s="24">
        <f>IF(OR($A70="",SUM($C$4:$C$123)=0),"",$C70/SUM($C$4:$C$123))</f>
        <v/>
      </c>
      <c r="E70" s="24">
        <f>IF($A70="","",SUM($D$4:$D70))</f>
        <v/>
      </c>
      <c r="F70" s="18">
        <f>IF(OR($A70="",$C70=0),"N/A - não vendida",IF($E70&lt;=0.8,"A",IF($E70&lt;=0.95,"B","C")))</f>
        <v/>
      </c>
    </row>
    <row r="71">
      <c r="A71" s="18">
        <f>IF('01-Cadastro-Motos'!$A71="","",'01-Cadastro-Motos'!$A71)</f>
        <v/>
      </c>
      <c r="B71" s="18">
        <f>IF($A71="","",IFERROR(INDEX('01-Cadastro-Motos'!$B$4:$B$123,MATCH($A71,'01-Cadastro-Motos'!$A$4:$A$123,0)),""))</f>
        <v/>
      </c>
      <c r="C71" s="15">
        <f>IF($A71="","",IFERROR(INDEX('08-Vendas-Negociacao'!$K$4:$K$123,MATCH($A71,'08-Vendas-Negociacao'!$A$4:$A$123,0)),0))</f>
        <v/>
      </c>
      <c r="D71" s="24">
        <f>IF(OR($A71="",SUM($C$4:$C$123)=0),"",$C71/SUM($C$4:$C$123))</f>
        <v/>
      </c>
      <c r="E71" s="24">
        <f>IF($A71="","",SUM($D$4:$D71))</f>
        <v/>
      </c>
      <c r="F71" s="18">
        <f>IF(OR($A71="",$C71=0),"N/A - não vendida",IF($E71&lt;=0.8,"A",IF($E71&lt;=0.95,"B","C")))</f>
        <v/>
      </c>
    </row>
    <row r="72">
      <c r="A72" s="18">
        <f>IF('01-Cadastro-Motos'!$A72="","",'01-Cadastro-Motos'!$A72)</f>
        <v/>
      </c>
      <c r="B72" s="18">
        <f>IF($A72="","",IFERROR(INDEX('01-Cadastro-Motos'!$B$4:$B$123,MATCH($A72,'01-Cadastro-Motos'!$A$4:$A$123,0)),""))</f>
        <v/>
      </c>
      <c r="C72" s="15">
        <f>IF($A72="","",IFERROR(INDEX('08-Vendas-Negociacao'!$K$4:$K$123,MATCH($A72,'08-Vendas-Negociacao'!$A$4:$A$123,0)),0))</f>
        <v/>
      </c>
      <c r="D72" s="24">
        <f>IF(OR($A72="",SUM($C$4:$C$123)=0),"",$C72/SUM($C$4:$C$123))</f>
        <v/>
      </c>
      <c r="E72" s="24">
        <f>IF($A72="","",SUM($D$4:$D72))</f>
        <v/>
      </c>
      <c r="F72" s="18">
        <f>IF(OR($A72="",$C72=0),"N/A - não vendida",IF($E72&lt;=0.8,"A",IF($E72&lt;=0.95,"B","C")))</f>
        <v/>
      </c>
    </row>
    <row r="73">
      <c r="A73" s="18">
        <f>IF('01-Cadastro-Motos'!$A73="","",'01-Cadastro-Motos'!$A73)</f>
        <v/>
      </c>
      <c r="B73" s="18">
        <f>IF($A73="","",IFERROR(INDEX('01-Cadastro-Motos'!$B$4:$B$123,MATCH($A73,'01-Cadastro-Motos'!$A$4:$A$123,0)),""))</f>
        <v/>
      </c>
      <c r="C73" s="15">
        <f>IF($A73="","",IFERROR(INDEX('08-Vendas-Negociacao'!$K$4:$K$123,MATCH($A73,'08-Vendas-Negociacao'!$A$4:$A$123,0)),0))</f>
        <v/>
      </c>
      <c r="D73" s="24">
        <f>IF(OR($A73="",SUM($C$4:$C$123)=0),"",$C73/SUM($C$4:$C$123))</f>
        <v/>
      </c>
      <c r="E73" s="24">
        <f>IF($A73="","",SUM($D$4:$D73))</f>
        <v/>
      </c>
      <c r="F73" s="18">
        <f>IF(OR($A73="",$C73=0),"N/A - não vendida",IF($E73&lt;=0.8,"A",IF($E73&lt;=0.95,"B","C")))</f>
        <v/>
      </c>
    </row>
    <row r="74">
      <c r="A74" s="18">
        <f>IF('01-Cadastro-Motos'!$A74="","",'01-Cadastro-Motos'!$A74)</f>
        <v/>
      </c>
      <c r="B74" s="18">
        <f>IF($A74="","",IFERROR(INDEX('01-Cadastro-Motos'!$B$4:$B$123,MATCH($A74,'01-Cadastro-Motos'!$A$4:$A$123,0)),""))</f>
        <v/>
      </c>
      <c r="C74" s="15">
        <f>IF($A74="","",IFERROR(INDEX('08-Vendas-Negociacao'!$K$4:$K$123,MATCH($A74,'08-Vendas-Negociacao'!$A$4:$A$123,0)),0))</f>
        <v/>
      </c>
      <c r="D74" s="24">
        <f>IF(OR($A74="",SUM($C$4:$C$123)=0),"",$C74/SUM($C$4:$C$123))</f>
        <v/>
      </c>
      <c r="E74" s="24">
        <f>IF($A74="","",SUM($D$4:$D74))</f>
        <v/>
      </c>
      <c r="F74" s="18">
        <f>IF(OR($A74="",$C74=0),"N/A - não vendida",IF($E74&lt;=0.8,"A",IF($E74&lt;=0.95,"B","C")))</f>
        <v/>
      </c>
    </row>
    <row r="75">
      <c r="A75" s="18">
        <f>IF('01-Cadastro-Motos'!$A75="","",'01-Cadastro-Motos'!$A75)</f>
        <v/>
      </c>
      <c r="B75" s="18">
        <f>IF($A75="","",IFERROR(INDEX('01-Cadastro-Motos'!$B$4:$B$123,MATCH($A75,'01-Cadastro-Motos'!$A$4:$A$123,0)),""))</f>
        <v/>
      </c>
      <c r="C75" s="15">
        <f>IF($A75="","",IFERROR(INDEX('08-Vendas-Negociacao'!$K$4:$K$123,MATCH($A75,'08-Vendas-Negociacao'!$A$4:$A$123,0)),0))</f>
        <v/>
      </c>
      <c r="D75" s="24">
        <f>IF(OR($A75="",SUM($C$4:$C$123)=0),"",$C75/SUM($C$4:$C$123))</f>
        <v/>
      </c>
      <c r="E75" s="24">
        <f>IF($A75="","",SUM($D$4:$D75))</f>
        <v/>
      </c>
      <c r="F75" s="18">
        <f>IF(OR($A75="",$C75=0),"N/A - não vendida",IF($E75&lt;=0.8,"A",IF($E75&lt;=0.95,"B","C")))</f>
        <v/>
      </c>
    </row>
    <row r="76">
      <c r="A76" s="18">
        <f>IF('01-Cadastro-Motos'!$A76="","",'01-Cadastro-Motos'!$A76)</f>
        <v/>
      </c>
      <c r="B76" s="18">
        <f>IF($A76="","",IFERROR(INDEX('01-Cadastro-Motos'!$B$4:$B$123,MATCH($A76,'01-Cadastro-Motos'!$A$4:$A$123,0)),""))</f>
        <v/>
      </c>
      <c r="C76" s="15">
        <f>IF($A76="","",IFERROR(INDEX('08-Vendas-Negociacao'!$K$4:$K$123,MATCH($A76,'08-Vendas-Negociacao'!$A$4:$A$123,0)),0))</f>
        <v/>
      </c>
      <c r="D76" s="24">
        <f>IF(OR($A76="",SUM($C$4:$C$123)=0),"",$C76/SUM($C$4:$C$123))</f>
        <v/>
      </c>
      <c r="E76" s="24">
        <f>IF($A76="","",SUM($D$4:$D76))</f>
        <v/>
      </c>
      <c r="F76" s="18">
        <f>IF(OR($A76="",$C76=0),"N/A - não vendida",IF($E76&lt;=0.8,"A",IF($E76&lt;=0.95,"B","C")))</f>
        <v/>
      </c>
    </row>
    <row r="77">
      <c r="A77" s="18">
        <f>IF('01-Cadastro-Motos'!$A77="","",'01-Cadastro-Motos'!$A77)</f>
        <v/>
      </c>
      <c r="B77" s="18">
        <f>IF($A77="","",IFERROR(INDEX('01-Cadastro-Motos'!$B$4:$B$123,MATCH($A77,'01-Cadastro-Motos'!$A$4:$A$123,0)),""))</f>
        <v/>
      </c>
      <c r="C77" s="15">
        <f>IF($A77="","",IFERROR(INDEX('08-Vendas-Negociacao'!$K$4:$K$123,MATCH($A77,'08-Vendas-Negociacao'!$A$4:$A$123,0)),0))</f>
        <v/>
      </c>
      <c r="D77" s="24">
        <f>IF(OR($A77="",SUM($C$4:$C$123)=0),"",$C77/SUM($C$4:$C$123))</f>
        <v/>
      </c>
      <c r="E77" s="24">
        <f>IF($A77="","",SUM($D$4:$D77))</f>
        <v/>
      </c>
      <c r="F77" s="18">
        <f>IF(OR($A77="",$C77=0),"N/A - não vendida",IF($E77&lt;=0.8,"A",IF($E77&lt;=0.95,"B","C")))</f>
        <v/>
      </c>
    </row>
    <row r="78">
      <c r="A78" s="18">
        <f>IF('01-Cadastro-Motos'!$A78="","",'01-Cadastro-Motos'!$A78)</f>
        <v/>
      </c>
      <c r="B78" s="18">
        <f>IF($A78="","",IFERROR(INDEX('01-Cadastro-Motos'!$B$4:$B$123,MATCH($A78,'01-Cadastro-Motos'!$A$4:$A$123,0)),""))</f>
        <v/>
      </c>
      <c r="C78" s="15">
        <f>IF($A78="","",IFERROR(INDEX('08-Vendas-Negociacao'!$K$4:$K$123,MATCH($A78,'08-Vendas-Negociacao'!$A$4:$A$123,0)),0))</f>
        <v/>
      </c>
      <c r="D78" s="24">
        <f>IF(OR($A78="",SUM($C$4:$C$123)=0),"",$C78/SUM($C$4:$C$123))</f>
        <v/>
      </c>
      <c r="E78" s="24">
        <f>IF($A78="","",SUM($D$4:$D78))</f>
        <v/>
      </c>
      <c r="F78" s="18">
        <f>IF(OR($A78="",$C78=0),"N/A - não vendida",IF($E78&lt;=0.8,"A",IF($E78&lt;=0.95,"B","C")))</f>
        <v/>
      </c>
    </row>
    <row r="79">
      <c r="A79" s="18">
        <f>IF('01-Cadastro-Motos'!$A79="","",'01-Cadastro-Motos'!$A79)</f>
        <v/>
      </c>
      <c r="B79" s="18">
        <f>IF($A79="","",IFERROR(INDEX('01-Cadastro-Motos'!$B$4:$B$123,MATCH($A79,'01-Cadastro-Motos'!$A$4:$A$123,0)),""))</f>
        <v/>
      </c>
      <c r="C79" s="15">
        <f>IF($A79="","",IFERROR(INDEX('08-Vendas-Negociacao'!$K$4:$K$123,MATCH($A79,'08-Vendas-Negociacao'!$A$4:$A$123,0)),0))</f>
        <v/>
      </c>
      <c r="D79" s="24">
        <f>IF(OR($A79="",SUM($C$4:$C$123)=0),"",$C79/SUM($C$4:$C$123))</f>
        <v/>
      </c>
      <c r="E79" s="24">
        <f>IF($A79="","",SUM($D$4:$D79))</f>
        <v/>
      </c>
      <c r="F79" s="18">
        <f>IF(OR($A79="",$C79=0),"N/A - não vendida",IF($E79&lt;=0.8,"A",IF($E79&lt;=0.95,"B","C")))</f>
        <v/>
      </c>
    </row>
    <row r="80">
      <c r="A80" s="18">
        <f>IF('01-Cadastro-Motos'!$A80="","",'01-Cadastro-Motos'!$A80)</f>
        <v/>
      </c>
      <c r="B80" s="18">
        <f>IF($A80="","",IFERROR(INDEX('01-Cadastro-Motos'!$B$4:$B$123,MATCH($A80,'01-Cadastro-Motos'!$A$4:$A$123,0)),""))</f>
        <v/>
      </c>
      <c r="C80" s="15">
        <f>IF($A80="","",IFERROR(INDEX('08-Vendas-Negociacao'!$K$4:$K$123,MATCH($A80,'08-Vendas-Negociacao'!$A$4:$A$123,0)),0))</f>
        <v/>
      </c>
      <c r="D80" s="24">
        <f>IF(OR($A80="",SUM($C$4:$C$123)=0),"",$C80/SUM($C$4:$C$123))</f>
        <v/>
      </c>
      <c r="E80" s="24">
        <f>IF($A80="","",SUM($D$4:$D80))</f>
        <v/>
      </c>
      <c r="F80" s="18">
        <f>IF(OR($A80="",$C80=0),"N/A - não vendida",IF($E80&lt;=0.8,"A",IF($E80&lt;=0.95,"B","C")))</f>
        <v/>
      </c>
    </row>
    <row r="81">
      <c r="A81" s="18">
        <f>IF('01-Cadastro-Motos'!$A81="","",'01-Cadastro-Motos'!$A81)</f>
        <v/>
      </c>
      <c r="B81" s="18">
        <f>IF($A81="","",IFERROR(INDEX('01-Cadastro-Motos'!$B$4:$B$123,MATCH($A81,'01-Cadastro-Motos'!$A$4:$A$123,0)),""))</f>
        <v/>
      </c>
      <c r="C81" s="15">
        <f>IF($A81="","",IFERROR(INDEX('08-Vendas-Negociacao'!$K$4:$K$123,MATCH($A81,'08-Vendas-Negociacao'!$A$4:$A$123,0)),0))</f>
        <v/>
      </c>
      <c r="D81" s="24">
        <f>IF(OR($A81="",SUM($C$4:$C$123)=0),"",$C81/SUM($C$4:$C$123))</f>
        <v/>
      </c>
      <c r="E81" s="24">
        <f>IF($A81="","",SUM($D$4:$D81))</f>
        <v/>
      </c>
      <c r="F81" s="18">
        <f>IF(OR($A81="",$C81=0),"N/A - não vendida",IF($E81&lt;=0.8,"A",IF($E81&lt;=0.95,"B","C")))</f>
        <v/>
      </c>
    </row>
    <row r="82">
      <c r="A82" s="18">
        <f>IF('01-Cadastro-Motos'!$A82="","",'01-Cadastro-Motos'!$A82)</f>
        <v/>
      </c>
      <c r="B82" s="18">
        <f>IF($A82="","",IFERROR(INDEX('01-Cadastro-Motos'!$B$4:$B$123,MATCH($A82,'01-Cadastro-Motos'!$A$4:$A$123,0)),""))</f>
        <v/>
      </c>
      <c r="C82" s="15">
        <f>IF($A82="","",IFERROR(INDEX('08-Vendas-Negociacao'!$K$4:$K$123,MATCH($A82,'08-Vendas-Negociacao'!$A$4:$A$123,0)),0))</f>
        <v/>
      </c>
      <c r="D82" s="24">
        <f>IF(OR($A82="",SUM($C$4:$C$123)=0),"",$C82/SUM($C$4:$C$123))</f>
        <v/>
      </c>
      <c r="E82" s="24">
        <f>IF($A82="","",SUM($D$4:$D82))</f>
        <v/>
      </c>
      <c r="F82" s="18">
        <f>IF(OR($A82="",$C82=0),"N/A - não vendida",IF($E82&lt;=0.8,"A",IF($E82&lt;=0.95,"B","C")))</f>
        <v/>
      </c>
    </row>
    <row r="83">
      <c r="A83" s="18">
        <f>IF('01-Cadastro-Motos'!$A83="","",'01-Cadastro-Motos'!$A83)</f>
        <v/>
      </c>
      <c r="B83" s="18">
        <f>IF($A83="","",IFERROR(INDEX('01-Cadastro-Motos'!$B$4:$B$123,MATCH($A83,'01-Cadastro-Motos'!$A$4:$A$123,0)),""))</f>
        <v/>
      </c>
      <c r="C83" s="15">
        <f>IF($A83="","",IFERROR(INDEX('08-Vendas-Negociacao'!$K$4:$K$123,MATCH($A83,'08-Vendas-Negociacao'!$A$4:$A$123,0)),0))</f>
        <v/>
      </c>
      <c r="D83" s="24">
        <f>IF(OR($A83="",SUM($C$4:$C$123)=0),"",$C83/SUM($C$4:$C$123))</f>
        <v/>
      </c>
      <c r="E83" s="24">
        <f>IF($A83="","",SUM($D$4:$D83))</f>
        <v/>
      </c>
      <c r="F83" s="18">
        <f>IF(OR($A83="",$C83=0),"N/A - não vendida",IF($E83&lt;=0.8,"A",IF($E83&lt;=0.95,"B","C")))</f>
        <v/>
      </c>
    </row>
    <row r="84">
      <c r="A84" s="18">
        <f>IF('01-Cadastro-Motos'!$A84="","",'01-Cadastro-Motos'!$A84)</f>
        <v/>
      </c>
      <c r="B84" s="18">
        <f>IF($A84="","",IFERROR(INDEX('01-Cadastro-Motos'!$B$4:$B$123,MATCH($A84,'01-Cadastro-Motos'!$A$4:$A$123,0)),""))</f>
        <v/>
      </c>
      <c r="C84" s="15">
        <f>IF($A84="","",IFERROR(INDEX('08-Vendas-Negociacao'!$K$4:$K$123,MATCH($A84,'08-Vendas-Negociacao'!$A$4:$A$123,0)),0))</f>
        <v/>
      </c>
      <c r="D84" s="24">
        <f>IF(OR($A84="",SUM($C$4:$C$123)=0),"",$C84/SUM($C$4:$C$123))</f>
        <v/>
      </c>
      <c r="E84" s="24">
        <f>IF($A84="","",SUM($D$4:$D84))</f>
        <v/>
      </c>
      <c r="F84" s="18">
        <f>IF(OR($A84="",$C84=0),"N/A - não vendida",IF($E84&lt;=0.8,"A",IF($E84&lt;=0.95,"B","C")))</f>
        <v/>
      </c>
    </row>
    <row r="85">
      <c r="A85" s="18">
        <f>IF('01-Cadastro-Motos'!$A85="","",'01-Cadastro-Motos'!$A85)</f>
        <v/>
      </c>
      <c r="B85" s="18">
        <f>IF($A85="","",IFERROR(INDEX('01-Cadastro-Motos'!$B$4:$B$123,MATCH($A85,'01-Cadastro-Motos'!$A$4:$A$123,0)),""))</f>
        <v/>
      </c>
      <c r="C85" s="15">
        <f>IF($A85="","",IFERROR(INDEX('08-Vendas-Negociacao'!$K$4:$K$123,MATCH($A85,'08-Vendas-Negociacao'!$A$4:$A$123,0)),0))</f>
        <v/>
      </c>
      <c r="D85" s="24">
        <f>IF(OR($A85="",SUM($C$4:$C$123)=0),"",$C85/SUM($C$4:$C$123))</f>
        <v/>
      </c>
      <c r="E85" s="24">
        <f>IF($A85="","",SUM($D$4:$D85))</f>
        <v/>
      </c>
      <c r="F85" s="18">
        <f>IF(OR($A85="",$C85=0),"N/A - não vendida",IF($E85&lt;=0.8,"A",IF($E85&lt;=0.95,"B","C")))</f>
        <v/>
      </c>
    </row>
    <row r="86">
      <c r="A86" s="18">
        <f>IF('01-Cadastro-Motos'!$A86="","",'01-Cadastro-Motos'!$A86)</f>
        <v/>
      </c>
      <c r="B86" s="18">
        <f>IF($A86="","",IFERROR(INDEX('01-Cadastro-Motos'!$B$4:$B$123,MATCH($A86,'01-Cadastro-Motos'!$A$4:$A$123,0)),""))</f>
        <v/>
      </c>
      <c r="C86" s="15">
        <f>IF($A86="","",IFERROR(INDEX('08-Vendas-Negociacao'!$K$4:$K$123,MATCH($A86,'08-Vendas-Negociacao'!$A$4:$A$123,0)),0))</f>
        <v/>
      </c>
      <c r="D86" s="24">
        <f>IF(OR($A86="",SUM($C$4:$C$123)=0),"",$C86/SUM($C$4:$C$123))</f>
        <v/>
      </c>
      <c r="E86" s="24">
        <f>IF($A86="","",SUM($D$4:$D86))</f>
        <v/>
      </c>
      <c r="F86" s="18">
        <f>IF(OR($A86="",$C86=0),"N/A - não vendida",IF($E86&lt;=0.8,"A",IF($E86&lt;=0.95,"B","C")))</f>
        <v/>
      </c>
    </row>
    <row r="87">
      <c r="A87" s="18">
        <f>IF('01-Cadastro-Motos'!$A87="","",'01-Cadastro-Motos'!$A87)</f>
        <v/>
      </c>
      <c r="B87" s="18">
        <f>IF($A87="","",IFERROR(INDEX('01-Cadastro-Motos'!$B$4:$B$123,MATCH($A87,'01-Cadastro-Motos'!$A$4:$A$123,0)),""))</f>
        <v/>
      </c>
      <c r="C87" s="15">
        <f>IF($A87="","",IFERROR(INDEX('08-Vendas-Negociacao'!$K$4:$K$123,MATCH($A87,'08-Vendas-Negociacao'!$A$4:$A$123,0)),0))</f>
        <v/>
      </c>
      <c r="D87" s="24">
        <f>IF(OR($A87="",SUM($C$4:$C$123)=0),"",$C87/SUM($C$4:$C$123))</f>
        <v/>
      </c>
      <c r="E87" s="24">
        <f>IF($A87="","",SUM($D$4:$D87))</f>
        <v/>
      </c>
      <c r="F87" s="18">
        <f>IF(OR($A87="",$C87=0),"N/A - não vendida",IF($E87&lt;=0.8,"A",IF($E87&lt;=0.95,"B","C")))</f>
        <v/>
      </c>
    </row>
    <row r="88">
      <c r="A88" s="18">
        <f>IF('01-Cadastro-Motos'!$A88="","",'01-Cadastro-Motos'!$A88)</f>
        <v/>
      </c>
      <c r="B88" s="18">
        <f>IF($A88="","",IFERROR(INDEX('01-Cadastro-Motos'!$B$4:$B$123,MATCH($A88,'01-Cadastro-Motos'!$A$4:$A$123,0)),""))</f>
        <v/>
      </c>
      <c r="C88" s="15">
        <f>IF($A88="","",IFERROR(INDEX('08-Vendas-Negociacao'!$K$4:$K$123,MATCH($A88,'08-Vendas-Negociacao'!$A$4:$A$123,0)),0))</f>
        <v/>
      </c>
      <c r="D88" s="24">
        <f>IF(OR($A88="",SUM($C$4:$C$123)=0),"",$C88/SUM($C$4:$C$123))</f>
        <v/>
      </c>
      <c r="E88" s="24">
        <f>IF($A88="","",SUM($D$4:$D88))</f>
        <v/>
      </c>
      <c r="F88" s="18">
        <f>IF(OR($A88="",$C88=0),"N/A - não vendida",IF($E88&lt;=0.8,"A",IF($E88&lt;=0.95,"B","C")))</f>
        <v/>
      </c>
    </row>
    <row r="89">
      <c r="A89" s="18">
        <f>IF('01-Cadastro-Motos'!$A89="","",'01-Cadastro-Motos'!$A89)</f>
        <v/>
      </c>
      <c r="B89" s="18">
        <f>IF($A89="","",IFERROR(INDEX('01-Cadastro-Motos'!$B$4:$B$123,MATCH($A89,'01-Cadastro-Motos'!$A$4:$A$123,0)),""))</f>
        <v/>
      </c>
      <c r="C89" s="15">
        <f>IF($A89="","",IFERROR(INDEX('08-Vendas-Negociacao'!$K$4:$K$123,MATCH($A89,'08-Vendas-Negociacao'!$A$4:$A$123,0)),0))</f>
        <v/>
      </c>
      <c r="D89" s="24">
        <f>IF(OR($A89="",SUM($C$4:$C$123)=0),"",$C89/SUM($C$4:$C$123))</f>
        <v/>
      </c>
      <c r="E89" s="24">
        <f>IF($A89="","",SUM($D$4:$D89))</f>
        <v/>
      </c>
      <c r="F89" s="18">
        <f>IF(OR($A89="",$C89=0),"N/A - não vendida",IF($E89&lt;=0.8,"A",IF($E89&lt;=0.95,"B","C")))</f>
        <v/>
      </c>
    </row>
    <row r="90">
      <c r="A90" s="18">
        <f>IF('01-Cadastro-Motos'!$A90="","",'01-Cadastro-Motos'!$A90)</f>
        <v/>
      </c>
      <c r="B90" s="18">
        <f>IF($A90="","",IFERROR(INDEX('01-Cadastro-Motos'!$B$4:$B$123,MATCH($A90,'01-Cadastro-Motos'!$A$4:$A$123,0)),""))</f>
        <v/>
      </c>
      <c r="C90" s="15">
        <f>IF($A90="","",IFERROR(INDEX('08-Vendas-Negociacao'!$K$4:$K$123,MATCH($A90,'08-Vendas-Negociacao'!$A$4:$A$123,0)),0))</f>
        <v/>
      </c>
      <c r="D90" s="24">
        <f>IF(OR($A90="",SUM($C$4:$C$123)=0),"",$C90/SUM($C$4:$C$123))</f>
        <v/>
      </c>
      <c r="E90" s="24">
        <f>IF($A90="","",SUM($D$4:$D90))</f>
        <v/>
      </c>
      <c r="F90" s="18">
        <f>IF(OR($A90="",$C90=0),"N/A - não vendida",IF($E90&lt;=0.8,"A",IF($E90&lt;=0.95,"B","C")))</f>
        <v/>
      </c>
    </row>
    <row r="91">
      <c r="A91" s="18">
        <f>IF('01-Cadastro-Motos'!$A91="","",'01-Cadastro-Motos'!$A91)</f>
        <v/>
      </c>
      <c r="B91" s="18">
        <f>IF($A91="","",IFERROR(INDEX('01-Cadastro-Motos'!$B$4:$B$123,MATCH($A91,'01-Cadastro-Motos'!$A$4:$A$123,0)),""))</f>
        <v/>
      </c>
      <c r="C91" s="15">
        <f>IF($A91="","",IFERROR(INDEX('08-Vendas-Negociacao'!$K$4:$K$123,MATCH($A91,'08-Vendas-Negociacao'!$A$4:$A$123,0)),0))</f>
        <v/>
      </c>
      <c r="D91" s="24">
        <f>IF(OR($A91="",SUM($C$4:$C$123)=0),"",$C91/SUM($C$4:$C$123))</f>
        <v/>
      </c>
      <c r="E91" s="24">
        <f>IF($A91="","",SUM($D$4:$D91))</f>
        <v/>
      </c>
      <c r="F91" s="18">
        <f>IF(OR($A91="",$C91=0),"N/A - não vendida",IF($E91&lt;=0.8,"A",IF($E91&lt;=0.95,"B","C")))</f>
        <v/>
      </c>
    </row>
    <row r="92">
      <c r="A92" s="18">
        <f>IF('01-Cadastro-Motos'!$A92="","",'01-Cadastro-Motos'!$A92)</f>
        <v/>
      </c>
      <c r="B92" s="18">
        <f>IF($A92="","",IFERROR(INDEX('01-Cadastro-Motos'!$B$4:$B$123,MATCH($A92,'01-Cadastro-Motos'!$A$4:$A$123,0)),""))</f>
        <v/>
      </c>
      <c r="C92" s="15">
        <f>IF($A92="","",IFERROR(INDEX('08-Vendas-Negociacao'!$K$4:$K$123,MATCH($A92,'08-Vendas-Negociacao'!$A$4:$A$123,0)),0))</f>
        <v/>
      </c>
      <c r="D92" s="24">
        <f>IF(OR($A92="",SUM($C$4:$C$123)=0),"",$C92/SUM($C$4:$C$123))</f>
        <v/>
      </c>
      <c r="E92" s="24">
        <f>IF($A92="","",SUM($D$4:$D92))</f>
        <v/>
      </c>
      <c r="F92" s="18">
        <f>IF(OR($A92="",$C92=0),"N/A - não vendida",IF($E92&lt;=0.8,"A",IF($E92&lt;=0.95,"B","C")))</f>
        <v/>
      </c>
    </row>
    <row r="93">
      <c r="A93" s="18">
        <f>IF('01-Cadastro-Motos'!$A93="","",'01-Cadastro-Motos'!$A93)</f>
        <v/>
      </c>
      <c r="B93" s="18">
        <f>IF($A93="","",IFERROR(INDEX('01-Cadastro-Motos'!$B$4:$B$123,MATCH($A93,'01-Cadastro-Motos'!$A$4:$A$123,0)),""))</f>
        <v/>
      </c>
      <c r="C93" s="15">
        <f>IF($A93="","",IFERROR(INDEX('08-Vendas-Negociacao'!$K$4:$K$123,MATCH($A93,'08-Vendas-Negociacao'!$A$4:$A$123,0)),0))</f>
        <v/>
      </c>
      <c r="D93" s="24">
        <f>IF(OR($A93="",SUM($C$4:$C$123)=0),"",$C93/SUM($C$4:$C$123))</f>
        <v/>
      </c>
      <c r="E93" s="24">
        <f>IF($A93="","",SUM($D$4:$D93))</f>
        <v/>
      </c>
      <c r="F93" s="18">
        <f>IF(OR($A93="",$C93=0),"N/A - não vendida",IF($E93&lt;=0.8,"A",IF($E93&lt;=0.95,"B","C")))</f>
        <v/>
      </c>
    </row>
    <row r="94">
      <c r="A94" s="18">
        <f>IF('01-Cadastro-Motos'!$A94="","",'01-Cadastro-Motos'!$A94)</f>
        <v/>
      </c>
      <c r="B94" s="18">
        <f>IF($A94="","",IFERROR(INDEX('01-Cadastro-Motos'!$B$4:$B$123,MATCH($A94,'01-Cadastro-Motos'!$A$4:$A$123,0)),""))</f>
        <v/>
      </c>
      <c r="C94" s="15">
        <f>IF($A94="","",IFERROR(INDEX('08-Vendas-Negociacao'!$K$4:$K$123,MATCH($A94,'08-Vendas-Negociacao'!$A$4:$A$123,0)),0))</f>
        <v/>
      </c>
      <c r="D94" s="24">
        <f>IF(OR($A94="",SUM($C$4:$C$123)=0),"",$C94/SUM($C$4:$C$123))</f>
        <v/>
      </c>
      <c r="E94" s="24">
        <f>IF($A94="","",SUM($D$4:$D94))</f>
        <v/>
      </c>
      <c r="F94" s="18">
        <f>IF(OR($A94="",$C94=0),"N/A - não vendida",IF($E94&lt;=0.8,"A",IF($E94&lt;=0.95,"B","C")))</f>
        <v/>
      </c>
    </row>
    <row r="95">
      <c r="A95" s="18">
        <f>IF('01-Cadastro-Motos'!$A95="","",'01-Cadastro-Motos'!$A95)</f>
        <v/>
      </c>
      <c r="B95" s="18">
        <f>IF($A95="","",IFERROR(INDEX('01-Cadastro-Motos'!$B$4:$B$123,MATCH($A95,'01-Cadastro-Motos'!$A$4:$A$123,0)),""))</f>
        <v/>
      </c>
      <c r="C95" s="15">
        <f>IF($A95="","",IFERROR(INDEX('08-Vendas-Negociacao'!$K$4:$K$123,MATCH($A95,'08-Vendas-Negociacao'!$A$4:$A$123,0)),0))</f>
        <v/>
      </c>
      <c r="D95" s="24">
        <f>IF(OR($A95="",SUM($C$4:$C$123)=0),"",$C95/SUM($C$4:$C$123))</f>
        <v/>
      </c>
      <c r="E95" s="24">
        <f>IF($A95="","",SUM($D$4:$D95))</f>
        <v/>
      </c>
      <c r="F95" s="18">
        <f>IF(OR($A95="",$C95=0),"N/A - não vendida",IF($E95&lt;=0.8,"A",IF($E95&lt;=0.95,"B","C")))</f>
        <v/>
      </c>
    </row>
    <row r="96">
      <c r="A96" s="18">
        <f>IF('01-Cadastro-Motos'!$A96="","",'01-Cadastro-Motos'!$A96)</f>
        <v/>
      </c>
      <c r="B96" s="18">
        <f>IF($A96="","",IFERROR(INDEX('01-Cadastro-Motos'!$B$4:$B$123,MATCH($A96,'01-Cadastro-Motos'!$A$4:$A$123,0)),""))</f>
        <v/>
      </c>
      <c r="C96" s="15">
        <f>IF($A96="","",IFERROR(INDEX('08-Vendas-Negociacao'!$K$4:$K$123,MATCH($A96,'08-Vendas-Negociacao'!$A$4:$A$123,0)),0))</f>
        <v/>
      </c>
      <c r="D96" s="24">
        <f>IF(OR($A96="",SUM($C$4:$C$123)=0),"",$C96/SUM($C$4:$C$123))</f>
        <v/>
      </c>
      <c r="E96" s="24">
        <f>IF($A96="","",SUM($D$4:$D96))</f>
        <v/>
      </c>
      <c r="F96" s="18">
        <f>IF(OR($A96="",$C96=0),"N/A - não vendida",IF($E96&lt;=0.8,"A",IF($E96&lt;=0.95,"B","C")))</f>
        <v/>
      </c>
    </row>
    <row r="97">
      <c r="A97" s="18">
        <f>IF('01-Cadastro-Motos'!$A97="","",'01-Cadastro-Motos'!$A97)</f>
        <v/>
      </c>
      <c r="B97" s="18">
        <f>IF($A97="","",IFERROR(INDEX('01-Cadastro-Motos'!$B$4:$B$123,MATCH($A97,'01-Cadastro-Motos'!$A$4:$A$123,0)),""))</f>
        <v/>
      </c>
      <c r="C97" s="15">
        <f>IF($A97="","",IFERROR(INDEX('08-Vendas-Negociacao'!$K$4:$K$123,MATCH($A97,'08-Vendas-Negociacao'!$A$4:$A$123,0)),0))</f>
        <v/>
      </c>
      <c r="D97" s="24">
        <f>IF(OR($A97="",SUM($C$4:$C$123)=0),"",$C97/SUM($C$4:$C$123))</f>
        <v/>
      </c>
      <c r="E97" s="24">
        <f>IF($A97="","",SUM($D$4:$D97))</f>
        <v/>
      </c>
      <c r="F97" s="18">
        <f>IF(OR($A97="",$C97=0),"N/A - não vendida",IF($E97&lt;=0.8,"A",IF($E97&lt;=0.95,"B","C")))</f>
        <v/>
      </c>
    </row>
    <row r="98">
      <c r="A98" s="18">
        <f>IF('01-Cadastro-Motos'!$A98="","",'01-Cadastro-Motos'!$A98)</f>
        <v/>
      </c>
      <c r="B98" s="18">
        <f>IF($A98="","",IFERROR(INDEX('01-Cadastro-Motos'!$B$4:$B$123,MATCH($A98,'01-Cadastro-Motos'!$A$4:$A$123,0)),""))</f>
        <v/>
      </c>
      <c r="C98" s="15">
        <f>IF($A98="","",IFERROR(INDEX('08-Vendas-Negociacao'!$K$4:$K$123,MATCH($A98,'08-Vendas-Negociacao'!$A$4:$A$123,0)),0))</f>
        <v/>
      </c>
      <c r="D98" s="24">
        <f>IF(OR($A98="",SUM($C$4:$C$123)=0),"",$C98/SUM($C$4:$C$123))</f>
        <v/>
      </c>
      <c r="E98" s="24">
        <f>IF($A98="","",SUM($D$4:$D98))</f>
        <v/>
      </c>
      <c r="F98" s="18">
        <f>IF(OR($A98="",$C98=0),"N/A - não vendida",IF($E98&lt;=0.8,"A",IF($E98&lt;=0.95,"B","C")))</f>
        <v/>
      </c>
    </row>
    <row r="99">
      <c r="A99" s="18">
        <f>IF('01-Cadastro-Motos'!$A99="","",'01-Cadastro-Motos'!$A99)</f>
        <v/>
      </c>
      <c r="B99" s="18">
        <f>IF($A99="","",IFERROR(INDEX('01-Cadastro-Motos'!$B$4:$B$123,MATCH($A99,'01-Cadastro-Motos'!$A$4:$A$123,0)),""))</f>
        <v/>
      </c>
      <c r="C99" s="15">
        <f>IF($A99="","",IFERROR(INDEX('08-Vendas-Negociacao'!$K$4:$K$123,MATCH($A99,'08-Vendas-Negociacao'!$A$4:$A$123,0)),0))</f>
        <v/>
      </c>
      <c r="D99" s="24">
        <f>IF(OR($A99="",SUM($C$4:$C$123)=0),"",$C99/SUM($C$4:$C$123))</f>
        <v/>
      </c>
      <c r="E99" s="24">
        <f>IF($A99="","",SUM($D$4:$D99))</f>
        <v/>
      </c>
      <c r="F99" s="18">
        <f>IF(OR($A99="",$C99=0),"N/A - não vendida",IF($E99&lt;=0.8,"A",IF($E99&lt;=0.95,"B","C")))</f>
        <v/>
      </c>
    </row>
    <row r="100">
      <c r="A100" s="18">
        <f>IF('01-Cadastro-Motos'!$A100="","",'01-Cadastro-Motos'!$A100)</f>
        <v/>
      </c>
      <c r="B100" s="18">
        <f>IF($A100="","",IFERROR(INDEX('01-Cadastro-Motos'!$B$4:$B$123,MATCH($A100,'01-Cadastro-Motos'!$A$4:$A$123,0)),""))</f>
        <v/>
      </c>
      <c r="C100" s="15">
        <f>IF($A100="","",IFERROR(INDEX('08-Vendas-Negociacao'!$K$4:$K$123,MATCH($A100,'08-Vendas-Negociacao'!$A$4:$A$123,0)),0))</f>
        <v/>
      </c>
      <c r="D100" s="24">
        <f>IF(OR($A100="",SUM($C$4:$C$123)=0),"",$C100/SUM($C$4:$C$123))</f>
        <v/>
      </c>
      <c r="E100" s="24">
        <f>IF($A100="","",SUM($D$4:$D100))</f>
        <v/>
      </c>
      <c r="F100" s="18">
        <f>IF(OR($A100="",$C100=0),"N/A - não vendida",IF($E100&lt;=0.8,"A",IF($E100&lt;=0.95,"B","C")))</f>
        <v/>
      </c>
    </row>
    <row r="101">
      <c r="A101" s="18">
        <f>IF('01-Cadastro-Motos'!$A101="","",'01-Cadastro-Motos'!$A101)</f>
        <v/>
      </c>
      <c r="B101" s="18">
        <f>IF($A101="","",IFERROR(INDEX('01-Cadastro-Motos'!$B$4:$B$123,MATCH($A101,'01-Cadastro-Motos'!$A$4:$A$123,0)),""))</f>
        <v/>
      </c>
      <c r="C101" s="15">
        <f>IF($A101="","",IFERROR(INDEX('08-Vendas-Negociacao'!$K$4:$K$123,MATCH($A101,'08-Vendas-Negociacao'!$A$4:$A$123,0)),0))</f>
        <v/>
      </c>
      <c r="D101" s="24">
        <f>IF(OR($A101="",SUM($C$4:$C$123)=0),"",$C101/SUM($C$4:$C$123))</f>
        <v/>
      </c>
      <c r="E101" s="24">
        <f>IF($A101="","",SUM($D$4:$D101))</f>
        <v/>
      </c>
      <c r="F101" s="18">
        <f>IF(OR($A101="",$C101=0),"N/A - não vendida",IF($E101&lt;=0.8,"A",IF($E101&lt;=0.95,"B","C")))</f>
        <v/>
      </c>
    </row>
    <row r="102">
      <c r="A102" s="18">
        <f>IF('01-Cadastro-Motos'!$A102="","",'01-Cadastro-Motos'!$A102)</f>
        <v/>
      </c>
      <c r="B102" s="18">
        <f>IF($A102="","",IFERROR(INDEX('01-Cadastro-Motos'!$B$4:$B$123,MATCH($A102,'01-Cadastro-Motos'!$A$4:$A$123,0)),""))</f>
        <v/>
      </c>
      <c r="C102" s="15">
        <f>IF($A102="","",IFERROR(INDEX('08-Vendas-Negociacao'!$K$4:$K$123,MATCH($A102,'08-Vendas-Negociacao'!$A$4:$A$123,0)),0))</f>
        <v/>
      </c>
      <c r="D102" s="24">
        <f>IF(OR($A102="",SUM($C$4:$C$123)=0),"",$C102/SUM($C$4:$C$123))</f>
        <v/>
      </c>
      <c r="E102" s="24">
        <f>IF($A102="","",SUM($D$4:$D102))</f>
        <v/>
      </c>
      <c r="F102" s="18">
        <f>IF(OR($A102="",$C102=0),"N/A - não vendida",IF($E102&lt;=0.8,"A",IF($E102&lt;=0.95,"B","C")))</f>
        <v/>
      </c>
    </row>
    <row r="103">
      <c r="A103" s="18">
        <f>IF('01-Cadastro-Motos'!$A103="","",'01-Cadastro-Motos'!$A103)</f>
        <v/>
      </c>
      <c r="B103" s="18">
        <f>IF($A103="","",IFERROR(INDEX('01-Cadastro-Motos'!$B$4:$B$123,MATCH($A103,'01-Cadastro-Motos'!$A$4:$A$123,0)),""))</f>
        <v/>
      </c>
      <c r="C103" s="15">
        <f>IF($A103="","",IFERROR(INDEX('08-Vendas-Negociacao'!$K$4:$K$123,MATCH($A103,'08-Vendas-Negociacao'!$A$4:$A$123,0)),0))</f>
        <v/>
      </c>
      <c r="D103" s="24">
        <f>IF(OR($A103="",SUM($C$4:$C$123)=0),"",$C103/SUM($C$4:$C$123))</f>
        <v/>
      </c>
      <c r="E103" s="24">
        <f>IF($A103="","",SUM($D$4:$D103))</f>
        <v/>
      </c>
      <c r="F103" s="18">
        <f>IF(OR($A103="",$C103=0),"N/A - não vendida",IF($E103&lt;=0.8,"A",IF($E103&lt;=0.95,"B","C")))</f>
        <v/>
      </c>
    </row>
    <row r="104">
      <c r="A104" s="18">
        <f>IF('01-Cadastro-Motos'!$A104="","",'01-Cadastro-Motos'!$A104)</f>
        <v/>
      </c>
      <c r="B104" s="18">
        <f>IF($A104="","",IFERROR(INDEX('01-Cadastro-Motos'!$B$4:$B$123,MATCH($A104,'01-Cadastro-Motos'!$A$4:$A$123,0)),""))</f>
        <v/>
      </c>
      <c r="C104" s="15">
        <f>IF($A104="","",IFERROR(INDEX('08-Vendas-Negociacao'!$K$4:$K$123,MATCH($A104,'08-Vendas-Negociacao'!$A$4:$A$123,0)),0))</f>
        <v/>
      </c>
      <c r="D104" s="24">
        <f>IF(OR($A104="",SUM($C$4:$C$123)=0),"",$C104/SUM($C$4:$C$123))</f>
        <v/>
      </c>
      <c r="E104" s="24">
        <f>IF($A104="","",SUM($D$4:$D104))</f>
        <v/>
      </c>
      <c r="F104" s="18">
        <f>IF(OR($A104="",$C104=0),"N/A - não vendida",IF($E104&lt;=0.8,"A",IF($E104&lt;=0.95,"B","C")))</f>
        <v/>
      </c>
    </row>
    <row r="105">
      <c r="A105" s="18">
        <f>IF('01-Cadastro-Motos'!$A105="","",'01-Cadastro-Motos'!$A105)</f>
        <v/>
      </c>
      <c r="B105" s="18">
        <f>IF($A105="","",IFERROR(INDEX('01-Cadastro-Motos'!$B$4:$B$123,MATCH($A105,'01-Cadastro-Motos'!$A$4:$A$123,0)),""))</f>
        <v/>
      </c>
      <c r="C105" s="15">
        <f>IF($A105="","",IFERROR(INDEX('08-Vendas-Negociacao'!$K$4:$K$123,MATCH($A105,'08-Vendas-Negociacao'!$A$4:$A$123,0)),0))</f>
        <v/>
      </c>
      <c r="D105" s="24">
        <f>IF(OR($A105="",SUM($C$4:$C$123)=0),"",$C105/SUM($C$4:$C$123))</f>
        <v/>
      </c>
      <c r="E105" s="24">
        <f>IF($A105="","",SUM($D$4:$D105))</f>
        <v/>
      </c>
      <c r="F105" s="18">
        <f>IF(OR($A105="",$C105=0),"N/A - não vendida",IF($E105&lt;=0.8,"A",IF($E105&lt;=0.95,"B","C")))</f>
        <v/>
      </c>
    </row>
    <row r="106">
      <c r="A106" s="18">
        <f>IF('01-Cadastro-Motos'!$A106="","",'01-Cadastro-Motos'!$A106)</f>
        <v/>
      </c>
      <c r="B106" s="18">
        <f>IF($A106="","",IFERROR(INDEX('01-Cadastro-Motos'!$B$4:$B$123,MATCH($A106,'01-Cadastro-Motos'!$A$4:$A$123,0)),""))</f>
        <v/>
      </c>
      <c r="C106" s="15">
        <f>IF($A106="","",IFERROR(INDEX('08-Vendas-Negociacao'!$K$4:$K$123,MATCH($A106,'08-Vendas-Negociacao'!$A$4:$A$123,0)),0))</f>
        <v/>
      </c>
      <c r="D106" s="24">
        <f>IF(OR($A106="",SUM($C$4:$C$123)=0),"",$C106/SUM($C$4:$C$123))</f>
        <v/>
      </c>
      <c r="E106" s="24">
        <f>IF($A106="","",SUM($D$4:$D106))</f>
        <v/>
      </c>
      <c r="F106" s="18">
        <f>IF(OR($A106="",$C106=0),"N/A - não vendida",IF($E106&lt;=0.8,"A",IF($E106&lt;=0.95,"B","C")))</f>
        <v/>
      </c>
    </row>
    <row r="107">
      <c r="A107" s="18">
        <f>IF('01-Cadastro-Motos'!$A107="","",'01-Cadastro-Motos'!$A107)</f>
        <v/>
      </c>
      <c r="B107" s="18">
        <f>IF($A107="","",IFERROR(INDEX('01-Cadastro-Motos'!$B$4:$B$123,MATCH($A107,'01-Cadastro-Motos'!$A$4:$A$123,0)),""))</f>
        <v/>
      </c>
      <c r="C107" s="15">
        <f>IF($A107="","",IFERROR(INDEX('08-Vendas-Negociacao'!$K$4:$K$123,MATCH($A107,'08-Vendas-Negociacao'!$A$4:$A$123,0)),0))</f>
        <v/>
      </c>
      <c r="D107" s="24">
        <f>IF(OR($A107="",SUM($C$4:$C$123)=0),"",$C107/SUM($C$4:$C$123))</f>
        <v/>
      </c>
      <c r="E107" s="24">
        <f>IF($A107="","",SUM($D$4:$D107))</f>
        <v/>
      </c>
      <c r="F107" s="18">
        <f>IF(OR($A107="",$C107=0),"N/A - não vendida",IF($E107&lt;=0.8,"A",IF($E107&lt;=0.95,"B","C")))</f>
        <v/>
      </c>
    </row>
    <row r="108">
      <c r="A108" s="18">
        <f>IF('01-Cadastro-Motos'!$A108="","",'01-Cadastro-Motos'!$A108)</f>
        <v/>
      </c>
      <c r="B108" s="18">
        <f>IF($A108="","",IFERROR(INDEX('01-Cadastro-Motos'!$B$4:$B$123,MATCH($A108,'01-Cadastro-Motos'!$A$4:$A$123,0)),""))</f>
        <v/>
      </c>
      <c r="C108" s="15">
        <f>IF($A108="","",IFERROR(INDEX('08-Vendas-Negociacao'!$K$4:$K$123,MATCH($A108,'08-Vendas-Negociacao'!$A$4:$A$123,0)),0))</f>
        <v/>
      </c>
      <c r="D108" s="24">
        <f>IF(OR($A108="",SUM($C$4:$C$123)=0),"",$C108/SUM($C$4:$C$123))</f>
        <v/>
      </c>
      <c r="E108" s="24">
        <f>IF($A108="","",SUM($D$4:$D108))</f>
        <v/>
      </c>
      <c r="F108" s="18">
        <f>IF(OR($A108="",$C108=0),"N/A - não vendida",IF($E108&lt;=0.8,"A",IF($E108&lt;=0.95,"B","C")))</f>
        <v/>
      </c>
    </row>
    <row r="109">
      <c r="A109" s="18">
        <f>IF('01-Cadastro-Motos'!$A109="","",'01-Cadastro-Motos'!$A109)</f>
        <v/>
      </c>
      <c r="B109" s="18">
        <f>IF($A109="","",IFERROR(INDEX('01-Cadastro-Motos'!$B$4:$B$123,MATCH($A109,'01-Cadastro-Motos'!$A$4:$A$123,0)),""))</f>
        <v/>
      </c>
      <c r="C109" s="15">
        <f>IF($A109="","",IFERROR(INDEX('08-Vendas-Negociacao'!$K$4:$K$123,MATCH($A109,'08-Vendas-Negociacao'!$A$4:$A$123,0)),0))</f>
        <v/>
      </c>
      <c r="D109" s="24">
        <f>IF(OR($A109="",SUM($C$4:$C$123)=0),"",$C109/SUM($C$4:$C$123))</f>
        <v/>
      </c>
      <c r="E109" s="24">
        <f>IF($A109="","",SUM($D$4:$D109))</f>
        <v/>
      </c>
      <c r="F109" s="18">
        <f>IF(OR($A109="",$C109=0),"N/A - não vendida",IF($E109&lt;=0.8,"A",IF($E109&lt;=0.95,"B","C")))</f>
        <v/>
      </c>
    </row>
    <row r="110">
      <c r="A110" s="18">
        <f>IF('01-Cadastro-Motos'!$A110="","",'01-Cadastro-Motos'!$A110)</f>
        <v/>
      </c>
      <c r="B110" s="18">
        <f>IF($A110="","",IFERROR(INDEX('01-Cadastro-Motos'!$B$4:$B$123,MATCH($A110,'01-Cadastro-Motos'!$A$4:$A$123,0)),""))</f>
        <v/>
      </c>
      <c r="C110" s="15">
        <f>IF($A110="","",IFERROR(INDEX('08-Vendas-Negociacao'!$K$4:$K$123,MATCH($A110,'08-Vendas-Negociacao'!$A$4:$A$123,0)),0))</f>
        <v/>
      </c>
      <c r="D110" s="24">
        <f>IF(OR($A110="",SUM($C$4:$C$123)=0),"",$C110/SUM($C$4:$C$123))</f>
        <v/>
      </c>
      <c r="E110" s="24">
        <f>IF($A110="","",SUM($D$4:$D110))</f>
        <v/>
      </c>
      <c r="F110" s="18">
        <f>IF(OR($A110="",$C110=0),"N/A - não vendida",IF($E110&lt;=0.8,"A",IF($E110&lt;=0.95,"B","C")))</f>
        <v/>
      </c>
    </row>
    <row r="111">
      <c r="A111" s="18">
        <f>IF('01-Cadastro-Motos'!$A111="","",'01-Cadastro-Motos'!$A111)</f>
        <v/>
      </c>
      <c r="B111" s="18">
        <f>IF($A111="","",IFERROR(INDEX('01-Cadastro-Motos'!$B$4:$B$123,MATCH($A111,'01-Cadastro-Motos'!$A$4:$A$123,0)),""))</f>
        <v/>
      </c>
      <c r="C111" s="15">
        <f>IF($A111="","",IFERROR(INDEX('08-Vendas-Negociacao'!$K$4:$K$123,MATCH($A111,'08-Vendas-Negociacao'!$A$4:$A$123,0)),0))</f>
        <v/>
      </c>
      <c r="D111" s="24">
        <f>IF(OR($A111="",SUM($C$4:$C$123)=0),"",$C111/SUM($C$4:$C$123))</f>
        <v/>
      </c>
      <c r="E111" s="24">
        <f>IF($A111="","",SUM($D$4:$D111))</f>
        <v/>
      </c>
      <c r="F111" s="18">
        <f>IF(OR($A111="",$C111=0),"N/A - não vendida",IF($E111&lt;=0.8,"A",IF($E111&lt;=0.95,"B","C")))</f>
        <v/>
      </c>
    </row>
    <row r="112">
      <c r="A112" s="18">
        <f>IF('01-Cadastro-Motos'!$A112="","",'01-Cadastro-Motos'!$A112)</f>
        <v/>
      </c>
      <c r="B112" s="18">
        <f>IF($A112="","",IFERROR(INDEX('01-Cadastro-Motos'!$B$4:$B$123,MATCH($A112,'01-Cadastro-Motos'!$A$4:$A$123,0)),""))</f>
        <v/>
      </c>
      <c r="C112" s="15">
        <f>IF($A112="","",IFERROR(INDEX('08-Vendas-Negociacao'!$K$4:$K$123,MATCH($A112,'08-Vendas-Negociacao'!$A$4:$A$123,0)),0))</f>
        <v/>
      </c>
      <c r="D112" s="24">
        <f>IF(OR($A112="",SUM($C$4:$C$123)=0),"",$C112/SUM($C$4:$C$123))</f>
        <v/>
      </c>
      <c r="E112" s="24">
        <f>IF($A112="","",SUM($D$4:$D112))</f>
        <v/>
      </c>
      <c r="F112" s="18">
        <f>IF(OR($A112="",$C112=0),"N/A - não vendida",IF($E112&lt;=0.8,"A",IF($E112&lt;=0.95,"B","C")))</f>
        <v/>
      </c>
    </row>
    <row r="113">
      <c r="A113" s="18">
        <f>IF('01-Cadastro-Motos'!$A113="","",'01-Cadastro-Motos'!$A113)</f>
        <v/>
      </c>
      <c r="B113" s="18">
        <f>IF($A113="","",IFERROR(INDEX('01-Cadastro-Motos'!$B$4:$B$123,MATCH($A113,'01-Cadastro-Motos'!$A$4:$A$123,0)),""))</f>
        <v/>
      </c>
      <c r="C113" s="15">
        <f>IF($A113="","",IFERROR(INDEX('08-Vendas-Negociacao'!$K$4:$K$123,MATCH($A113,'08-Vendas-Negociacao'!$A$4:$A$123,0)),0))</f>
        <v/>
      </c>
      <c r="D113" s="24">
        <f>IF(OR($A113="",SUM($C$4:$C$123)=0),"",$C113/SUM($C$4:$C$123))</f>
        <v/>
      </c>
      <c r="E113" s="24">
        <f>IF($A113="","",SUM($D$4:$D113))</f>
        <v/>
      </c>
      <c r="F113" s="18">
        <f>IF(OR($A113="",$C113=0),"N/A - não vendida",IF($E113&lt;=0.8,"A",IF($E113&lt;=0.95,"B","C")))</f>
        <v/>
      </c>
    </row>
    <row r="114">
      <c r="A114" s="18">
        <f>IF('01-Cadastro-Motos'!$A114="","",'01-Cadastro-Motos'!$A114)</f>
        <v/>
      </c>
      <c r="B114" s="18">
        <f>IF($A114="","",IFERROR(INDEX('01-Cadastro-Motos'!$B$4:$B$123,MATCH($A114,'01-Cadastro-Motos'!$A$4:$A$123,0)),""))</f>
        <v/>
      </c>
      <c r="C114" s="15">
        <f>IF($A114="","",IFERROR(INDEX('08-Vendas-Negociacao'!$K$4:$K$123,MATCH($A114,'08-Vendas-Negociacao'!$A$4:$A$123,0)),0))</f>
        <v/>
      </c>
      <c r="D114" s="24">
        <f>IF(OR($A114="",SUM($C$4:$C$123)=0),"",$C114/SUM($C$4:$C$123))</f>
        <v/>
      </c>
      <c r="E114" s="24">
        <f>IF($A114="","",SUM($D$4:$D114))</f>
        <v/>
      </c>
      <c r="F114" s="18">
        <f>IF(OR($A114="",$C114=0),"N/A - não vendida",IF($E114&lt;=0.8,"A",IF($E114&lt;=0.95,"B","C")))</f>
        <v/>
      </c>
    </row>
    <row r="115">
      <c r="A115" s="18">
        <f>IF('01-Cadastro-Motos'!$A115="","",'01-Cadastro-Motos'!$A115)</f>
        <v/>
      </c>
      <c r="B115" s="18">
        <f>IF($A115="","",IFERROR(INDEX('01-Cadastro-Motos'!$B$4:$B$123,MATCH($A115,'01-Cadastro-Motos'!$A$4:$A$123,0)),""))</f>
        <v/>
      </c>
      <c r="C115" s="15">
        <f>IF($A115="","",IFERROR(INDEX('08-Vendas-Negociacao'!$K$4:$K$123,MATCH($A115,'08-Vendas-Negociacao'!$A$4:$A$123,0)),0))</f>
        <v/>
      </c>
      <c r="D115" s="24">
        <f>IF(OR($A115="",SUM($C$4:$C$123)=0),"",$C115/SUM($C$4:$C$123))</f>
        <v/>
      </c>
      <c r="E115" s="24">
        <f>IF($A115="","",SUM($D$4:$D115))</f>
        <v/>
      </c>
      <c r="F115" s="18">
        <f>IF(OR($A115="",$C115=0),"N/A - não vendida",IF($E115&lt;=0.8,"A",IF($E115&lt;=0.95,"B","C")))</f>
        <v/>
      </c>
    </row>
    <row r="116">
      <c r="A116" s="18">
        <f>IF('01-Cadastro-Motos'!$A116="","",'01-Cadastro-Motos'!$A116)</f>
        <v/>
      </c>
      <c r="B116" s="18">
        <f>IF($A116="","",IFERROR(INDEX('01-Cadastro-Motos'!$B$4:$B$123,MATCH($A116,'01-Cadastro-Motos'!$A$4:$A$123,0)),""))</f>
        <v/>
      </c>
      <c r="C116" s="15">
        <f>IF($A116="","",IFERROR(INDEX('08-Vendas-Negociacao'!$K$4:$K$123,MATCH($A116,'08-Vendas-Negociacao'!$A$4:$A$123,0)),0))</f>
        <v/>
      </c>
      <c r="D116" s="24">
        <f>IF(OR($A116="",SUM($C$4:$C$123)=0),"",$C116/SUM($C$4:$C$123))</f>
        <v/>
      </c>
      <c r="E116" s="24">
        <f>IF($A116="","",SUM($D$4:$D116))</f>
        <v/>
      </c>
      <c r="F116" s="18">
        <f>IF(OR($A116="",$C116=0),"N/A - não vendida",IF($E116&lt;=0.8,"A",IF($E116&lt;=0.95,"B","C")))</f>
        <v/>
      </c>
    </row>
    <row r="117">
      <c r="A117" s="18">
        <f>IF('01-Cadastro-Motos'!$A117="","",'01-Cadastro-Motos'!$A117)</f>
        <v/>
      </c>
      <c r="B117" s="18">
        <f>IF($A117="","",IFERROR(INDEX('01-Cadastro-Motos'!$B$4:$B$123,MATCH($A117,'01-Cadastro-Motos'!$A$4:$A$123,0)),""))</f>
        <v/>
      </c>
      <c r="C117" s="15">
        <f>IF($A117="","",IFERROR(INDEX('08-Vendas-Negociacao'!$K$4:$K$123,MATCH($A117,'08-Vendas-Negociacao'!$A$4:$A$123,0)),0))</f>
        <v/>
      </c>
      <c r="D117" s="24">
        <f>IF(OR($A117="",SUM($C$4:$C$123)=0),"",$C117/SUM($C$4:$C$123))</f>
        <v/>
      </c>
      <c r="E117" s="24">
        <f>IF($A117="","",SUM($D$4:$D117))</f>
        <v/>
      </c>
      <c r="F117" s="18">
        <f>IF(OR($A117="",$C117=0),"N/A - não vendida",IF($E117&lt;=0.8,"A",IF($E117&lt;=0.95,"B","C")))</f>
        <v/>
      </c>
    </row>
    <row r="118">
      <c r="A118" s="18">
        <f>IF('01-Cadastro-Motos'!$A118="","",'01-Cadastro-Motos'!$A118)</f>
        <v/>
      </c>
      <c r="B118" s="18">
        <f>IF($A118="","",IFERROR(INDEX('01-Cadastro-Motos'!$B$4:$B$123,MATCH($A118,'01-Cadastro-Motos'!$A$4:$A$123,0)),""))</f>
        <v/>
      </c>
      <c r="C118" s="15">
        <f>IF($A118="","",IFERROR(INDEX('08-Vendas-Negociacao'!$K$4:$K$123,MATCH($A118,'08-Vendas-Negociacao'!$A$4:$A$123,0)),0))</f>
        <v/>
      </c>
      <c r="D118" s="24">
        <f>IF(OR($A118="",SUM($C$4:$C$123)=0),"",$C118/SUM($C$4:$C$123))</f>
        <v/>
      </c>
      <c r="E118" s="24">
        <f>IF($A118="","",SUM($D$4:$D118))</f>
        <v/>
      </c>
      <c r="F118" s="18">
        <f>IF(OR($A118="",$C118=0),"N/A - não vendida",IF($E118&lt;=0.8,"A",IF($E118&lt;=0.95,"B","C")))</f>
        <v/>
      </c>
    </row>
    <row r="119">
      <c r="A119" s="18">
        <f>IF('01-Cadastro-Motos'!$A119="","",'01-Cadastro-Motos'!$A119)</f>
        <v/>
      </c>
      <c r="B119" s="18">
        <f>IF($A119="","",IFERROR(INDEX('01-Cadastro-Motos'!$B$4:$B$123,MATCH($A119,'01-Cadastro-Motos'!$A$4:$A$123,0)),""))</f>
        <v/>
      </c>
      <c r="C119" s="15">
        <f>IF($A119="","",IFERROR(INDEX('08-Vendas-Negociacao'!$K$4:$K$123,MATCH($A119,'08-Vendas-Negociacao'!$A$4:$A$123,0)),0))</f>
        <v/>
      </c>
      <c r="D119" s="24">
        <f>IF(OR($A119="",SUM($C$4:$C$123)=0),"",$C119/SUM($C$4:$C$123))</f>
        <v/>
      </c>
      <c r="E119" s="24">
        <f>IF($A119="","",SUM($D$4:$D119))</f>
        <v/>
      </c>
      <c r="F119" s="18">
        <f>IF(OR($A119="",$C119=0),"N/A - não vendida",IF($E119&lt;=0.8,"A",IF($E119&lt;=0.95,"B","C")))</f>
        <v/>
      </c>
    </row>
    <row r="120">
      <c r="A120" s="18">
        <f>IF('01-Cadastro-Motos'!$A120="","",'01-Cadastro-Motos'!$A120)</f>
        <v/>
      </c>
      <c r="B120" s="18">
        <f>IF($A120="","",IFERROR(INDEX('01-Cadastro-Motos'!$B$4:$B$123,MATCH($A120,'01-Cadastro-Motos'!$A$4:$A$123,0)),""))</f>
        <v/>
      </c>
      <c r="C120" s="15">
        <f>IF($A120="","",IFERROR(INDEX('08-Vendas-Negociacao'!$K$4:$K$123,MATCH($A120,'08-Vendas-Negociacao'!$A$4:$A$123,0)),0))</f>
        <v/>
      </c>
      <c r="D120" s="24">
        <f>IF(OR($A120="",SUM($C$4:$C$123)=0),"",$C120/SUM($C$4:$C$123))</f>
        <v/>
      </c>
      <c r="E120" s="24">
        <f>IF($A120="","",SUM($D$4:$D120))</f>
        <v/>
      </c>
      <c r="F120" s="18">
        <f>IF(OR($A120="",$C120=0),"N/A - não vendida",IF($E120&lt;=0.8,"A",IF($E120&lt;=0.95,"B","C")))</f>
        <v/>
      </c>
    </row>
    <row r="121">
      <c r="A121" s="18">
        <f>IF('01-Cadastro-Motos'!$A121="","",'01-Cadastro-Motos'!$A121)</f>
        <v/>
      </c>
      <c r="B121" s="18">
        <f>IF($A121="","",IFERROR(INDEX('01-Cadastro-Motos'!$B$4:$B$123,MATCH($A121,'01-Cadastro-Motos'!$A$4:$A$123,0)),""))</f>
        <v/>
      </c>
      <c r="C121" s="15">
        <f>IF($A121="","",IFERROR(INDEX('08-Vendas-Negociacao'!$K$4:$K$123,MATCH($A121,'08-Vendas-Negociacao'!$A$4:$A$123,0)),0))</f>
        <v/>
      </c>
      <c r="D121" s="24">
        <f>IF(OR($A121="",SUM($C$4:$C$123)=0),"",$C121/SUM($C$4:$C$123))</f>
        <v/>
      </c>
      <c r="E121" s="24">
        <f>IF($A121="","",SUM($D$4:$D121))</f>
        <v/>
      </c>
      <c r="F121" s="18">
        <f>IF(OR($A121="",$C121=0),"N/A - não vendida",IF($E121&lt;=0.8,"A",IF($E121&lt;=0.95,"B","C")))</f>
        <v/>
      </c>
    </row>
    <row r="122">
      <c r="A122" s="18">
        <f>IF('01-Cadastro-Motos'!$A122="","",'01-Cadastro-Motos'!$A122)</f>
        <v/>
      </c>
      <c r="B122" s="18">
        <f>IF($A122="","",IFERROR(INDEX('01-Cadastro-Motos'!$B$4:$B$123,MATCH($A122,'01-Cadastro-Motos'!$A$4:$A$123,0)),""))</f>
        <v/>
      </c>
      <c r="C122" s="15">
        <f>IF($A122="","",IFERROR(INDEX('08-Vendas-Negociacao'!$K$4:$K$123,MATCH($A122,'08-Vendas-Negociacao'!$A$4:$A$123,0)),0))</f>
        <v/>
      </c>
      <c r="D122" s="24">
        <f>IF(OR($A122="",SUM($C$4:$C$123)=0),"",$C122/SUM($C$4:$C$123))</f>
        <v/>
      </c>
      <c r="E122" s="24">
        <f>IF($A122="","",SUM($D$4:$D122))</f>
        <v/>
      </c>
      <c r="F122" s="18">
        <f>IF(OR($A122="",$C122=0),"N/A - não vendida",IF($E122&lt;=0.8,"A",IF($E122&lt;=0.95,"B","C")))</f>
        <v/>
      </c>
    </row>
    <row r="123">
      <c r="A123" s="18">
        <f>IF('01-Cadastro-Motos'!$A123="","",'01-Cadastro-Motos'!$A123)</f>
        <v/>
      </c>
      <c r="B123" s="18">
        <f>IF($A123="","",IFERROR(INDEX('01-Cadastro-Motos'!$B$4:$B$123,MATCH($A123,'01-Cadastro-Motos'!$A$4:$A$123,0)),""))</f>
        <v/>
      </c>
      <c r="C123" s="15">
        <f>IF($A123="","",IFERROR(INDEX('08-Vendas-Negociacao'!$K$4:$K$123,MATCH($A123,'08-Vendas-Negociacao'!$A$4:$A$123,0)),0))</f>
        <v/>
      </c>
      <c r="D123" s="24">
        <f>IF(OR($A123="",SUM($C$4:$C$123)=0),"",$C123/SUM($C$4:$C$123))</f>
        <v/>
      </c>
      <c r="E123" s="24">
        <f>IF($A123="","",SUM($D$4:$D123))</f>
        <v/>
      </c>
      <c r="F123" s="18">
        <f>IF(OR($A123="",$C123=0),"N/A - não vendida",IF($E123&lt;=0.8,"A",IF($E123&lt;=0.95,"B","C")))</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3"/>
  <sheetViews>
    <sheetView workbookViewId="0">
      <pane ySplit="3" topLeftCell="A4" activePane="bottomLeft" state="frozen"/>
      <selection pane="bottomLeft" activeCell="A1" sqref="A1"/>
    </sheetView>
  </sheetViews>
  <sheetFormatPr baseColWidth="8" defaultRowHeight="15" outlineLevelCol="0"/>
  <cols>
    <col width="12" customWidth="1" min="1" max="1"/>
    <col width="12" customWidth="1" min="2" max="2"/>
    <col width="16" customWidth="1" min="3" max="3"/>
    <col width="14" customWidth="1" min="4" max="4"/>
    <col width="14" customWidth="1" min="5" max="5"/>
    <col width="30" customWidth="1" min="6" max="6"/>
    <col width="16" customWidth="1" min="7" max="7"/>
    <col width="16" customWidth="1" min="8" max="8"/>
    <col width="14" customWidth="1" min="9" max="9"/>
    <col width="10" customWidth="1" min="10" max="10"/>
  </cols>
  <sheetData>
    <row r="1">
      <c r="A1" s="1" t="inlineStr">
        <is>
          <t>Histórico de Alterações de Preço e Governança (Pilar 9)</t>
        </is>
      </c>
    </row>
    <row r="3">
      <c r="A3" s="4" t="inlineStr">
        <is>
          <t>Data</t>
        </is>
      </c>
      <c r="B3" s="4" t="inlineStr">
        <is>
          <t>ID Moto</t>
        </is>
      </c>
      <c r="C3" s="4" t="inlineStr">
        <is>
          <t>Preço Anterior (R$)</t>
        </is>
      </c>
      <c r="D3" s="4" t="inlineStr">
        <is>
          <t>Preço Novo (R$)</t>
        </is>
      </c>
      <c r="E3" s="4" t="inlineStr">
        <is>
          <t>Margem Utilizada</t>
        </is>
      </c>
      <c r="F3" s="4" t="inlineStr">
        <is>
          <t>Motivo</t>
        </is>
      </c>
      <c r="G3" s="4" t="inlineStr">
        <is>
          <t>Solicitante</t>
        </is>
      </c>
      <c r="H3" s="4" t="inlineStr">
        <is>
          <t>Aprovador</t>
        </is>
      </c>
      <c r="I3" s="4" t="inlineStr">
        <is>
          <t>Nível de Aprovação</t>
        </is>
      </c>
      <c r="J3" s="4" t="inlineStr">
        <is>
          <t>Registrado?</t>
        </is>
      </c>
    </row>
    <row r="4">
      <c r="A4" s="23" t="n"/>
      <c r="B4" s="16" t="n"/>
      <c r="C4" s="9" t="n"/>
      <c r="D4" s="9" t="n"/>
      <c r="E4" s="16" t="n"/>
      <c r="F4" s="16" t="n"/>
      <c r="G4" s="16" t="n"/>
      <c r="H4" s="16" t="n"/>
      <c r="I4" s="16" t="n"/>
      <c r="J4" s="26">
        <f>IF($I4="","",IF(OR($I4="N2",$I4="N3"),IF(AND($G4&lt;&gt;"",$H4&lt;&gt;""),"Completo","PENDENTE"),"N/A"))</f>
        <v/>
      </c>
    </row>
    <row r="5">
      <c r="A5" s="23" t="n"/>
      <c r="B5" s="16" t="n"/>
      <c r="C5" s="9" t="n"/>
      <c r="D5" s="9" t="n"/>
      <c r="E5" s="16" t="n"/>
      <c r="F5" s="16" t="n"/>
      <c r="G5" s="16" t="n"/>
      <c r="H5" s="16" t="n"/>
      <c r="I5" s="16" t="n"/>
      <c r="J5" s="26">
        <f>IF($I5="","",IF(OR($I5="N2",$I5="N3"),IF(AND($G5&lt;&gt;"",$H5&lt;&gt;""),"Completo","PENDENTE"),"N/A"))</f>
        <v/>
      </c>
    </row>
    <row r="6">
      <c r="A6" s="23" t="n"/>
      <c r="B6" s="16" t="n"/>
      <c r="C6" s="9" t="n"/>
      <c r="D6" s="9" t="n"/>
      <c r="E6" s="16" t="n"/>
      <c r="F6" s="16" t="n"/>
      <c r="G6" s="16" t="n"/>
      <c r="H6" s="16" t="n"/>
      <c r="I6" s="16" t="n"/>
      <c r="J6" s="26">
        <f>IF($I6="","",IF(OR($I6="N2",$I6="N3"),IF(AND($G6&lt;&gt;"",$H6&lt;&gt;""),"Completo","PENDENTE"),"N/A"))</f>
        <v/>
      </c>
    </row>
    <row r="7">
      <c r="A7" s="23" t="n"/>
      <c r="B7" s="16" t="n"/>
      <c r="C7" s="9" t="n"/>
      <c r="D7" s="9" t="n"/>
      <c r="E7" s="16" t="n"/>
      <c r="F7" s="16" t="n"/>
      <c r="G7" s="16" t="n"/>
      <c r="H7" s="16" t="n"/>
      <c r="I7" s="16" t="n"/>
      <c r="J7" s="26">
        <f>IF($I7="","",IF(OR($I7="N2",$I7="N3"),IF(AND($G7&lt;&gt;"",$H7&lt;&gt;""),"Completo","PENDENTE"),"N/A"))</f>
        <v/>
      </c>
    </row>
    <row r="8">
      <c r="A8" s="23" t="n"/>
      <c r="B8" s="16" t="n"/>
      <c r="C8" s="9" t="n"/>
      <c r="D8" s="9" t="n"/>
      <c r="E8" s="16" t="n"/>
      <c r="F8" s="16" t="n"/>
      <c r="G8" s="16" t="n"/>
      <c r="H8" s="16" t="n"/>
      <c r="I8" s="16" t="n"/>
      <c r="J8" s="26">
        <f>IF($I8="","",IF(OR($I8="N2",$I8="N3"),IF(AND($G8&lt;&gt;"",$H8&lt;&gt;""),"Completo","PENDENTE"),"N/A"))</f>
        <v/>
      </c>
    </row>
    <row r="9">
      <c r="A9" s="23" t="n"/>
      <c r="B9" s="16" t="n"/>
      <c r="C9" s="9" t="n"/>
      <c r="D9" s="9" t="n"/>
      <c r="E9" s="16" t="n"/>
      <c r="F9" s="16" t="n"/>
      <c r="G9" s="16" t="n"/>
      <c r="H9" s="16" t="n"/>
      <c r="I9" s="16" t="n"/>
      <c r="J9" s="26">
        <f>IF($I9="","",IF(OR($I9="N2",$I9="N3"),IF(AND($G9&lt;&gt;"",$H9&lt;&gt;""),"Completo","PENDENTE"),"N/A"))</f>
        <v/>
      </c>
    </row>
    <row r="10">
      <c r="A10" s="23" t="n"/>
      <c r="B10" s="16" t="n"/>
      <c r="C10" s="9" t="n"/>
      <c r="D10" s="9" t="n"/>
      <c r="E10" s="16" t="n"/>
      <c r="F10" s="16" t="n"/>
      <c r="G10" s="16" t="n"/>
      <c r="H10" s="16" t="n"/>
      <c r="I10" s="16" t="n"/>
      <c r="J10" s="26">
        <f>IF($I10="","",IF(OR($I10="N2",$I10="N3"),IF(AND($G10&lt;&gt;"",$H10&lt;&gt;""),"Completo","PENDENTE"),"N/A"))</f>
        <v/>
      </c>
    </row>
    <row r="11">
      <c r="A11" s="23" t="n"/>
      <c r="B11" s="16" t="n"/>
      <c r="C11" s="9" t="n"/>
      <c r="D11" s="9" t="n"/>
      <c r="E11" s="16" t="n"/>
      <c r="F11" s="16" t="n"/>
      <c r="G11" s="16" t="n"/>
      <c r="H11" s="16" t="n"/>
      <c r="I11" s="16" t="n"/>
      <c r="J11" s="26">
        <f>IF($I11="","",IF(OR($I11="N2",$I11="N3"),IF(AND($G11&lt;&gt;"",$H11&lt;&gt;""),"Completo","PENDENTE"),"N/A"))</f>
        <v/>
      </c>
    </row>
    <row r="12">
      <c r="A12" s="23" t="n"/>
      <c r="B12" s="16" t="n"/>
      <c r="C12" s="9" t="n"/>
      <c r="D12" s="9" t="n"/>
      <c r="E12" s="16" t="n"/>
      <c r="F12" s="16" t="n"/>
      <c r="G12" s="16" t="n"/>
      <c r="H12" s="16" t="n"/>
      <c r="I12" s="16" t="n"/>
      <c r="J12" s="26">
        <f>IF($I12="","",IF(OR($I12="N2",$I12="N3"),IF(AND($G12&lt;&gt;"",$H12&lt;&gt;""),"Completo","PENDENTE"),"N/A"))</f>
        <v/>
      </c>
    </row>
    <row r="13">
      <c r="A13" s="23" t="n"/>
      <c r="B13" s="16" t="n"/>
      <c r="C13" s="9" t="n"/>
      <c r="D13" s="9" t="n"/>
      <c r="E13" s="16" t="n"/>
      <c r="F13" s="16" t="n"/>
      <c r="G13" s="16" t="n"/>
      <c r="H13" s="16" t="n"/>
      <c r="I13" s="16" t="n"/>
      <c r="J13" s="26">
        <f>IF($I13="","",IF(OR($I13="N2",$I13="N3"),IF(AND($G13&lt;&gt;"",$H13&lt;&gt;""),"Completo","PENDENTE"),"N/A"))</f>
        <v/>
      </c>
    </row>
    <row r="14">
      <c r="A14" s="23" t="n"/>
      <c r="B14" s="16" t="n"/>
      <c r="C14" s="9" t="n"/>
      <c r="D14" s="9" t="n"/>
      <c r="E14" s="16" t="n"/>
      <c r="F14" s="16" t="n"/>
      <c r="G14" s="16" t="n"/>
      <c r="H14" s="16" t="n"/>
      <c r="I14" s="16" t="n"/>
      <c r="J14" s="26">
        <f>IF($I14="","",IF(OR($I14="N2",$I14="N3"),IF(AND($G14&lt;&gt;"",$H14&lt;&gt;""),"Completo","PENDENTE"),"N/A"))</f>
        <v/>
      </c>
    </row>
    <row r="15">
      <c r="A15" s="23" t="n"/>
      <c r="B15" s="16" t="n"/>
      <c r="C15" s="9" t="n"/>
      <c r="D15" s="9" t="n"/>
      <c r="E15" s="16" t="n"/>
      <c r="F15" s="16" t="n"/>
      <c r="G15" s="16" t="n"/>
      <c r="H15" s="16" t="n"/>
      <c r="I15" s="16" t="n"/>
      <c r="J15" s="26">
        <f>IF($I15="","",IF(OR($I15="N2",$I15="N3"),IF(AND($G15&lt;&gt;"",$H15&lt;&gt;""),"Completo","PENDENTE"),"N/A"))</f>
        <v/>
      </c>
    </row>
    <row r="16">
      <c r="A16" s="23" t="n"/>
      <c r="B16" s="16" t="n"/>
      <c r="C16" s="9" t="n"/>
      <c r="D16" s="9" t="n"/>
      <c r="E16" s="16" t="n"/>
      <c r="F16" s="16" t="n"/>
      <c r="G16" s="16" t="n"/>
      <c r="H16" s="16" t="n"/>
      <c r="I16" s="16" t="n"/>
      <c r="J16" s="26">
        <f>IF($I16="","",IF(OR($I16="N2",$I16="N3"),IF(AND($G16&lt;&gt;"",$H16&lt;&gt;""),"Completo","PENDENTE"),"N/A"))</f>
        <v/>
      </c>
    </row>
    <row r="17">
      <c r="A17" s="23" t="n"/>
      <c r="B17" s="16" t="n"/>
      <c r="C17" s="9" t="n"/>
      <c r="D17" s="9" t="n"/>
      <c r="E17" s="16" t="n"/>
      <c r="F17" s="16" t="n"/>
      <c r="G17" s="16" t="n"/>
      <c r="H17" s="16" t="n"/>
      <c r="I17" s="16" t="n"/>
      <c r="J17" s="26">
        <f>IF($I17="","",IF(OR($I17="N2",$I17="N3"),IF(AND($G17&lt;&gt;"",$H17&lt;&gt;""),"Completo","PENDENTE"),"N/A"))</f>
        <v/>
      </c>
    </row>
    <row r="18">
      <c r="A18" s="23" t="n"/>
      <c r="B18" s="16" t="n"/>
      <c r="C18" s="9" t="n"/>
      <c r="D18" s="9" t="n"/>
      <c r="E18" s="16" t="n"/>
      <c r="F18" s="16" t="n"/>
      <c r="G18" s="16" t="n"/>
      <c r="H18" s="16" t="n"/>
      <c r="I18" s="16" t="n"/>
      <c r="J18" s="26">
        <f>IF($I18="","",IF(OR($I18="N2",$I18="N3"),IF(AND($G18&lt;&gt;"",$H18&lt;&gt;""),"Completo","PENDENTE"),"N/A"))</f>
        <v/>
      </c>
    </row>
    <row r="19">
      <c r="A19" s="23" t="n"/>
      <c r="B19" s="16" t="n"/>
      <c r="C19" s="9" t="n"/>
      <c r="D19" s="9" t="n"/>
      <c r="E19" s="16" t="n"/>
      <c r="F19" s="16" t="n"/>
      <c r="G19" s="16" t="n"/>
      <c r="H19" s="16" t="n"/>
      <c r="I19" s="16" t="n"/>
      <c r="J19" s="26">
        <f>IF($I19="","",IF(OR($I19="N2",$I19="N3"),IF(AND($G19&lt;&gt;"",$H19&lt;&gt;""),"Completo","PENDENTE"),"N/A"))</f>
        <v/>
      </c>
    </row>
    <row r="20">
      <c r="A20" s="23" t="n"/>
      <c r="B20" s="16" t="n"/>
      <c r="C20" s="9" t="n"/>
      <c r="D20" s="9" t="n"/>
      <c r="E20" s="16" t="n"/>
      <c r="F20" s="16" t="n"/>
      <c r="G20" s="16" t="n"/>
      <c r="H20" s="16" t="n"/>
      <c r="I20" s="16" t="n"/>
      <c r="J20" s="26">
        <f>IF($I20="","",IF(OR($I20="N2",$I20="N3"),IF(AND($G20&lt;&gt;"",$H20&lt;&gt;""),"Completo","PENDENTE"),"N/A"))</f>
        <v/>
      </c>
    </row>
    <row r="21">
      <c r="A21" s="23" t="n"/>
      <c r="B21" s="16" t="n"/>
      <c r="C21" s="9" t="n"/>
      <c r="D21" s="9" t="n"/>
      <c r="E21" s="16" t="n"/>
      <c r="F21" s="16" t="n"/>
      <c r="G21" s="16" t="n"/>
      <c r="H21" s="16" t="n"/>
      <c r="I21" s="16" t="n"/>
      <c r="J21" s="26">
        <f>IF($I21="","",IF(OR($I21="N2",$I21="N3"),IF(AND($G21&lt;&gt;"",$H21&lt;&gt;""),"Completo","PENDENTE"),"N/A"))</f>
        <v/>
      </c>
    </row>
    <row r="22">
      <c r="A22" s="23" t="n"/>
      <c r="B22" s="16" t="n"/>
      <c r="C22" s="9" t="n"/>
      <c r="D22" s="9" t="n"/>
      <c r="E22" s="16" t="n"/>
      <c r="F22" s="16" t="n"/>
      <c r="G22" s="16" t="n"/>
      <c r="H22" s="16" t="n"/>
      <c r="I22" s="16" t="n"/>
      <c r="J22" s="26">
        <f>IF($I22="","",IF(OR($I22="N2",$I22="N3"),IF(AND($G22&lt;&gt;"",$H22&lt;&gt;""),"Completo","PENDENTE"),"N/A"))</f>
        <v/>
      </c>
    </row>
    <row r="23">
      <c r="A23" s="23" t="n"/>
      <c r="B23" s="16" t="n"/>
      <c r="C23" s="9" t="n"/>
      <c r="D23" s="9" t="n"/>
      <c r="E23" s="16" t="n"/>
      <c r="F23" s="16" t="n"/>
      <c r="G23" s="16" t="n"/>
      <c r="H23" s="16" t="n"/>
      <c r="I23" s="16" t="n"/>
      <c r="J23" s="26">
        <f>IF($I23="","",IF(OR($I23="N2",$I23="N3"),IF(AND($G23&lt;&gt;"",$H23&lt;&gt;""),"Completo","PENDENTE"),"N/A"))</f>
        <v/>
      </c>
    </row>
    <row r="24">
      <c r="A24" s="23" t="n"/>
      <c r="B24" s="16" t="n"/>
      <c r="C24" s="9" t="n"/>
      <c r="D24" s="9" t="n"/>
      <c r="E24" s="16" t="n"/>
      <c r="F24" s="16" t="n"/>
      <c r="G24" s="16" t="n"/>
      <c r="H24" s="16" t="n"/>
      <c r="I24" s="16" t="n"/>
      <c r="J24" s="26">
        <f>IF($I24="","",IF(OR($I24="N2",$I24="N3"),IF(AND($G24&lt;&gt;"",$H24&lt;&gt;""),"Completo","PENDENTE"),"N/A"))</f>
        <v/>
      </c>
    </row>
    <row r="25">
      <c r="A25" s="23" t="n"/>
      <c r="B25" s="16" t="n"/>
      <c r="C25" s="9" t="n"/>
      <c r="D25" s="9" t="n"/>
      <c r="E25" s="16" t="n"/>
      <c r="F25" s="16" t="n"/>
      <c r="G25" s="16" t="n"/>
      <c r="H25" s="16" t="n"/>
      <c r="I25" s="16" t="n"/>
      <c r="J25" s="26">
        <f>IF($I25="","",IF(OR($I25="N2",$I25="N3"),IF(AND($G25&lt;&gt;"",$H25&lt;&gt;""),"Completo","PENDENTE"),"N/A"))</f>
        <v/>
      </c>
    </row>
    <row r="26">
      <c r="A26" s="23" t="n"/>
      <c r="B26" s="16" t="n"/>
      <c r="C26" s="9" t="n"/>
      <c r="D26" s="9" t="n"/>
      <c r="E26" s="16" t="n"/>
      <c r="F26" s="16" t="n"/>
      <c r="G26" s="16" t="n"/>
      <c r="H26" s="16" t="n"/>
      <c r="I26" s="16" t="n"/>
      <c r="J26" s="26">
        <f>IF($I26="","",IF(OR($I26="N2",$I26="N3"),IF(AND($G26&lt;&gt;"",$H26&lt;&gt;""),"Completo","PENDENTE"),"N/A"))</f>
        <v/>
      </c>
    </row>
    <row r="27">
      <c r="A27" s="23" t="n"/>
      <c r="B27" s="16" t="n"/>
      <c r="C27" s="9" t="n"/>
      <c r="D27" s="9" t="n"/>
      <c r="E27" s="16" t="n"/>
      <c r="F27" s="16" t="n"/>
      <c r="G27" s="16" t="n"/>
      <c r="H27" s="16" t="n"/>
      <c r="I27" s="16" t="n"/>
      <c r="J27" s="26">
        <f>IF($I27="","",IF(OR($I27="N2",$I27="N3"),IF(AND($G27&lt;&gt;"",$H27&lt;&gt;""),"Completo","PENDENTE"),"N/A"))</f>
        <v/>
      </c>
    </row>
    <row r="28">
      <c r="A28" s="23" t="n"/>
      <c r="B28" s="16" t="n"/>
      <c r="C28" s="9" t="n"/>
      <c r="D28" s="9" t="n"/>
      <c r="E28" s="16" t="n"/>
      <c r="F28" s="16" t="n"/>
      <c r="G28" s="16" t="n"/>
      <c r="H28" s="16" t="n"/>
      <c r="I28" s="16" t="n"/>
      <c r="J28" s="26">
        <f>IF($I28="","",IF(OR($I28="N2",$I28="N3"),IF(AND($G28&lt;&gt;"",$H28&lt;&gt;""),"Completo","PENDENTE"),"N/A"))</f>
        <v/>
      </c>
    </row>
    <row r="29">
      <c r="A29" s="23" t="n"/>
      <c r="B29" s="16" t="n"/>
      <c r="C29" s="9" t="n"/>
      <c r="D29" s="9" t="n"/>
      <c r="E29" s="16" t="n"/>
      <c r="F29" s="16" t="n"/>
      <c r="G29" s="16" t="n"/>
      <c r="H29" s="16" t="n"/>
      <c r="I29" s="16" t="n"/>
      <c r="J29" s="26">
        <f>IF($I29="","",IF(OR($I29="N2",$I29="N3"),IF(AND($G29&lt;&gt;"",$H29&lt;&gt;""),"Completo","PENDENTE"),"N/A"))</f>
        <v/>
      </c>
    </row>
    <row r="30">
      <c r="A30" s="23" t="n"/>
      <c r="B30" s="16" t="n"/>
      <c r="C30" s="9" t="n"/>
      <c r="D30" s="9" t="n"/>
      <c r="E30" s="16" t="n"/>
      <c r="F30" s="16" t="n"/>
      <c r="G30" s="16" t="n"/>
      <c r="H30" s="16" t="n"/>
      <c r="I30" s="16" t="n"/>
      <c r="J30" s="26">
        <f>IF($I30="","",IF(OR($I30="N2",$I30="N3"),IF(AND($G30&lt;&gt;"",$H30&lt;&gt;""),"Completo","PENDENTE"),"N/A"))</f>
        <v/>
      </c>
    </row>
    <row r="31">
      <c r="A31" s="23" t="n"/>
      <c r="B31" s="16" t="n"/>
      <c r="C31" s="9" t="n"/>
      <c r="D31" s="9" t="n"/>
      <c r="E31" s="16" t="n"/>
      <c r="F31" s="16" t="n"/>
      <c r="G31" s="16" t="n"/>
      <c r="H31" s="16" t="n"/>
      <c r="I31" s="16" t="n"/>
      <c r="J31" s="26">
        <f>IF($I31="","",IF(OR($I31="N2",$I31="N3"),IF(AND($G31&lt;&gt;"",$H31&lt;&gt;""),"Completo","PENDENTE"),"N/A"))</f>
        <v/>
      </c>
    </row>
    <row r="32">
      <c r="A32" s="23" t="n"/>
      <c r="B32" s="16" t="n"/>
      <c r="C32" s="9" t="n"/>
      <c r="D32" s="9" t="n"/>
      <c r="E32" s="16" t="n"/>
      <c r="F32" s="16" t="n"/>
      <c r="G32" s="16" t="n"/>
      <c r="H32" s="16" t="n"/>
      <c r="I32" s="16" t="n"/>
      <c r="J32" s="26">
        <f>IF($I32="","",IF(OR($I32="N2",$I32="N3"),IF(AND($G32&lt;&gt;"",$H32&lt;&gt;""),"Completo","PENDENTE"),"N/A"))</f>
        <v/>
      </c>
    </row>
    <row r="33">
      <c r="A33" s="23" t="n"/>
      <c r="B33" s="16" t="n"/>
      <c r="C33" s="9" t="n"/>
      <c r="D33" s="9" t="n"/>
      <c r="E33" s="16" t="n"/>
      <c r="F33" s="16" t="n"/>
      <c r="G33" s="16" t="n"/>
      <c r="H33" s="16" t="n"/>
      <c r="I33" s="16" t="n"/>
      <c r="J33" s="26">
        <f>IF($I33="","",IF(OR($I33="N2",$I33="N3"),IF(AND($G33&lt;&gt;"",$H33&lt;&gt;""),"Completo","PENDENTE"),"N/A"))</f>
        <v/>
      </c>
    </row>
    <row r="34">
      <c r="A34" s="23" t="n"/>
      <c r="B34" s="16" t="n"/>
      <c r="C34" s="9" t="n"/>
      <c r="D34" s="9" t="n"/>
      <c r="E34" s="16" t="n"/>
      <c r="F34" s="16" t="n"/>
      <c r="G34" s="16" t="n"/>
      <c r="H34" s="16" t="n"/>
      <c r="I34" s="16" t="n"/>
      <c r="J34" s="26">
        <f>IF($I34="","",IF(OR($I34="N2",$I34="N3"),IF(AND($G34&lt;&gt;"",$H34&lt;&gt;""),"Completo","PENDENTE"),"N/A"))</f>
        <v/>
      </c>
    </row>
    <row r="35">
      <c r="A35" s="23" t="n"/>
      <c r="B35" s="16" t="n"/>
      <c r="C35" s="9" t="n"/>
      <c r="D35" s="9" t="n"/>
      <c r="E35" s="16" t="n"/>
      <c r="F35" s="16" t="n"/>
      <c r="G35" s="16" t="n"/>
      <c r="H35" s="16" t="n"/>
      <c r="I35" s="16" t="n"/>
      <c r="J35" s="26">
        <f>IF($I35="","",IF(OR($I35="N2",$I35="N3"),IF(AND($G35&lt;&gt;"",$H35&lt;&gt;""),"Completo","PENDENTE"),"N/A"))</f>
        <v/>
      </c>
    </row>
    <row r="36">
      <c r="A36" s="23" t="n"/>
      <c r="B36" s="16" t="n"/>
      <c r="C36" s="9" t="n"/>
      <c r="D36" s="9" t="n"/>
      <c r="E36" s="16" t="n"/>
      <c r="F36" s="16" t="n"/>
      <c r="G36" s="16" t="n"/>
      <c r="H36" s="16" t="n"/>
      <c r="I36" s="16" t="n"/>
      <c r="J36" s="26">
        <f>IF($I36="","",IF(OR($I36="N2",$I36="N3"),IF(AND($G36&lt;&gt;"",$H36&lt;&gt;""),"Completo","PENDENTE"),"N/A"))</f>
        <v/>
      </c>
    </row>
    <row r="37">
      <c r="A37" s="23" t="n"/>
      <c r="B37" s="16" t="n"/>
      <c r="C37" s="9" t="n"/>
      <c r="D37" s="9" t="n"/>
      <c r="E37" s="16" t="n"/>
      <c r="F37" s="16" t="n"/>
      <c r="G37" s="16" t="n"/>
      <c r="H37" s="16" t="n"/>
      <c r="I37" s="16" t="n"/>
      <c r="J37" s="26">
        <f>IF($I37="","",IF(OR($I37="N2",$I37="N3"),IF(AND($G37&lt;&gt;"",$H37&lt;&gt;""),"Completo","PENDENTE"),"N/A"))</f>
        <v/>
      </c>
    </row>
    <row r="38">
      <c r="A38" s="23" t="n"/>
      <c r="B38" s="16" t="n"/>
      <c r="C38" s="9" t="n"/>
      <c r="D38" s="9" t="n"/>
      <c r="E38" s="16" t="n"/>
      <c r="F38" s="16" t="n"/>
      <c r="G38" s="16" t="n"/>
      <c r="H38" s="16" t="n"/>
      <c r="I38" s="16" t="n"/>
      <c r="J38" s="26">
        <f>IF($I38="","",IF(OR($I38="N2",$I38="N3"),IF(AND($G38&lt;&gt;"",$H38&lt;&gt;""),"Completo","PENDENTE"),"N/A"))</f>
        <v/>
      </c>
    </row>
    <row r="39">
      <c r="A39" s="23" t="n"/>
      <c r="B39" s="16" t="n"/>
      <c r="C39" s="9" t="n"/>
      <c r="D39" s="9" t="n"/>
      <c r="E39" s="16" t="n"/>
      <c r="F39" s="16" t="n"/>
      <c r="G39" s="16" t="n"/>
      <c r="H39" s="16" t="n"/>
      <c r="I39" s="16" t="n"/>
      <c r="J39" s="26">
        <f>IF($I39="","",IF(OR($I39="N2",$I39="N3"),IF(AND($G39&lt;&gt;"",$H39&lt;&gt;""),"Completo","PENDENTE"),"N/A"))</f>
        <v/>
      </c>
    </row>
    <row r="40">
      <c r="A40" s="23" t="n"/>
      <c r="B40" s="16" t="n"/>
      <c r="C40" s="9" t="n"/>
      <c r="D40" s="9" t="n"/>
      <c r="E40" s="16" t="n"/>
      <c r="F40" s="16" t="n"/>
      <c r="G40" s="16" t="n"/>
      <c r="H40" s="16" t="n"/>
      <c r="I40" s="16" t="n"/>
      <c r="J40" s="26">
        <f>IF($I40="","",IF(OR($I40="N2",$I40="N3"),IF(AND($G40&lt;&gt;"",$H40&lt;&gt;""),"Completo","PENDENTE"),"N/A"))</f>
        <v/>
      </c>
    </row>
    <row r="41">
      <c r="A41" s="23" t="n"/>
      <c r="B41" s="16" t="n"/>
      <c r="C41" s="9" t="n"/>
      <c r="D41" s="9" t="n"/>
      <c r="E41" s="16" t="n"/>
      <c r="F41" s="16" t="n"/>
      <c r="G41" s="16" t="n"/>
      <c r="H41" s="16" t="n"/>
      <c r="I41" s="16" t="n"/>
      <c r="J41" s="26">
        <f>IF($I41="","",IF(OR($I41="N2",$I41="N3"),IF(AND($G41&lt;&gt;"",$H41&lt;&gt;""),"Completo","PENDENTE"),"N/A"))</f>
        <v/>
      </c>
    </row>
    <row r="42">
      <c r="A42" s="23" t="n"/>
      <c r="B42" s="16" t="n"/>
      <c r="C42" s="9" t="n"/>
      <c r="D42" s="9" t="n"/>
      <c r="E42" s="16" t="n"/>
      <c r="F42" s="16" t="n"/>
      <c r="G42" s="16" t="n"/>
      <c r="H42" s="16" t="n"/>
      <c r="I42" s="16" t="n"/>
      <c r="J42" s="26">
        <f>IF($I42="","",IF(OR($I42="N2",$I42="N3"),IF(AND($G42&lt;&gt;"",$H42&lt;&gt;""),"Completo","PENDENTE"),"N/A"))</f>
        <v/>
      </c>
    </row>
    <row r="43">
      <c r="A43" s="23" t="n"/>
      <c r="B43" s="16" t="n"/>
      <c r="C43" s="9" t="n"/>
      <c r="D43" s="9" t="n"/>
      <c r="E43" s="16" t="n"/>
      <c r="F43" s="16" t="n"/>
      <c r="G43" s="16" t="n"/>
      <c r="H43" s="16" t="n"/>
      <c r="I43" s="16" t="n"/>
      <c r="J43" s="26">
        <f>IF($I43="","",IF(OR($I43="N2",$I43="N3"),IF(AND($G43&lt;&gt;"",$H43&lt;&gt;""),"Completo","PENDENTE"),"N/A"))</f>
        <v/>
      </c>
    </row>
    <row r="44">
      <c r="A44" s="23" t="n"/>
      <c r="B44" s="16" t="n"/>
      <c r="C44" s="9" t="n"/>
      <c r="D44" s="9" t="n"/>
      <c r="E44" s="16" t="n"/>
      <c r="F44" s="16" t="n"/>
      <c r="G44" s="16" t="n"/>
      <c r="H44" s="16" t="n"/>
      <c r="I44" s="16" t="n"/>
      <c r="J44" s="26">
        <f>IF($I44="","",IF(OR($I44="N2",$I44="N3"),IF(AND($G44&lt;&gt;"",$H44&lt;&gt;""),"Completo","PENDENTE"),"N/A"))</f>
        <v/>
      </c>
    </row>
    <row r="45">
      <c r="A45" s="23" t="n"/>
      <c r="B45" s="16" t="n"/>
      <c r="C45" s="9" t="n"/>
      <c r="D45" s="9" t="n"/>
      <c r="E45" s="16" t="n"/>
      <c r="F45" s="16" t="n"/>
      <c r="G45" s="16" t="n"/>
      <c r="H45" s="16" t="n"/>
      <c r="I45" s="16" t="n"/>
      <c r="J45" s="26">
        <f>IF($I45="","",IF(OR($I45="N2",$I45="N3"),IF(AND($G45&lt;&gt;"",$H45&lt;&gt;""),"Completo","PENDENTE"),"N/A"))</f>
        <v/>
      </c>
    </row>
    <row r="46">
      <c r="A46" s="23" t="n"/>
      <c r="B46" s="16" t="n"/>
      <c r="C46" s="9" t="n"/>
      <c r="D46" s="9" t="n"/>
      <c r="E46" s="16" t="n"/>
      <c r="F46" s="16" t="n"/>
      <c r="G46" s="16" t="n"/>
      <c r="H46" s="16" t="n"/>
      <c r="I46" s="16" t="n"/>
      <c r="J46" s="26">
        <f>IF($I46="","",IF(OR($I46="N2",$I46="N3"),IF(AND($G46&lt;&gt;"",$H46&lt;&gt;""),"Completo","PENDENTE"),"N/A"))</f>
        <v/>
      </c>
    </row>
    <row r="47">
      <c r="A47" s="23" t="n"/>
      <c r="B47" s="16" t="n"/>
      <c r="C47" s="9" t="n"/>
      <c r="D47" s="9" t="n"/>
      <c r="E47" s="16" t="n"/>
      <c r="F47" s="16" t="n"/>
      <c r="G47" s="16" t="n"/>
      <c r="H47" s="16" t="n"/>
      <c r="I47" s="16" t="n"/>
      <c r="J47" s="26">
        <f>IF($I47="","",IF(OR($I47="N2",$I47="N3"),IF(AND($G47&lt;&gt;"",$H47&lt;&gt;""),"Completo","PENDENTE"),"N/A"))</f>
        <v/>
      </c>
    </row>
    <row r="48">
      <c r="A48" s="23" t="n"/>
      <c r="B48" s="16" t="n"/>
      <c r="C48" s="9" t="n"/>
      <c r="D48" s="9" t="n"/>
      <c r="E48" s="16" t="n"/>
      <c r="F48" s="16" t="n"/>
      <c r="G48" s="16" t="n"/>
      <c r="H48" s="16" t="n"/>
      <c r="I48" s="16" t="n"/>
      <c r="J48" s="26">
        <f>IF($I48="","",IF(OR($I48="N2",$I48="N3"),IF(AND($G48&lt;&gt;"",$H48&lt;&gt;""),"Completo","PENDENTE"),"N/A"))</f>
        <v/>
      </c>
    </row>
    <row r="49">
      <c r="A49" s="23" t="n"/>
      <c r="B49" s="16" t="n"/>
      <c r="C49" s="9" t="n"/>
      <c r="D49" s="9" t="n"/>
      <c r="E49" s="16" t="n"/>
      <c r="F49" s="16" t="n"/>
      <c r="G49" s="16" t="n"/>
      <c r="H49" s="16" t="n"/>
      <c r="I49" s="16" t="n"/>
      <c r="J49" s="26">
        <f>IF($I49="","",IF(OR($I49="N2",$I49="N3"),IF(AND($G49&lt;&gt;"",$H49&lt;&gt;""),"Completo","PENDENTE"),"N/A"))</f>
        <v/>
      </c>
    </row>
    <row r="50">
      <c r="A50" s="23" t="n"/>
      <c r="B50" s="16" t="n"/>
      <c r="C50" s="9" t="n"/>
      <c r="D50" s="9" t="n"/>
      <c r="E50" s="16" t="n"/>
      <c r="F50" s="16" t="n"/>
      <c r="G50" s="16" t="n"/>
      <c r="H50" s="16" t="n"/>
      <c r="I50" s="16" t="n"/>
      <c r="J50" s="26">
        <f>IF($I50="","",IF(OR($I50="N2",$I50="N3"),IF(AND($G50&lt;&gt;"",$H50&lt;&gt;""),"Completo","PENDENTE"),"N/A"))</f>
        <v/>
      </c>
    </row>
    <row r="51">
      <c r="A51" s="23" t="n"/>
      <c r="B51" s="16" t="n"/>
      <c r="C51" s="9" t="n"/>
      <c r="D51" s="9" t="n"/>
      <c r="E51" s="16" t="n"/>
      <c r="F51" s="16" t="n"/>
      <c r="G51" s="16" t="n"/>
      <c r="H51" s="16" t="n"/>
      <c r="I51" s="16" t="n"/>
      <c r="J51" s="26">
        <f>IF($I51="","",IF(OR($I51="N2",$I51="N3"),IF(AND($G51&lt;&gt;"",$H51&lt;&gt;""),"Completo","PENDENTE"),"N/A"))</f>
        <v/>
      </c>
    </row>
    <row r="52">
      <c r="A52" s="23" t="n"/>
      <c r="B52" s="16" t="n"/>
      <c r="C52" s="9" t="n"/>
      <c r="D52" s="9" t="n"/>
      <c r="E52" s="16" t="n"/>
      <c r="F52" s="16" t="n"/>
      <c r="G52" s="16" t="n"/>
      <c r="H52" s="16" t="n"/>
      <c r="I52" s="16" t="n"/>
      <c r="J52" s="26">
        <f>IF($I52="","",IF(OR($I52="N2",$I52="N3"),IF(AND($G52&lt;&gt;"",$H52&lt;&gt;""),"Completo","PENDENTE"),"N/A"))</f>
        <v/>
      </c>
    </row>
    <row r="53">
      <c r="A53" s="23" t="n"/>
      <c r="B53" s="16" t="n"/>
      <c r="C53" s="9" t="n"/>
      <c r="D53" s="9" t="n"/>
      <c r="E53" s="16" t="n"/>
      <c r="F53" s="16" t="n"/>
      <c r="G53" s="16" t="n"/>
      <c r="H53" s="16" t="n"/>
      <c r="I53" s="16" t="n"/>
      <c r="J53" s="26">
        <f>IF($I53="","",IF(OR($I53="N2",$I53="N3"),IF(AND($G53&lt;&gt;"",$H53&lt;&gt;""),"Completo","PENDENTE"),"N/A"))</f>
        <v/>
      </c>
    </row>
    <row r="54">
      <c r="A54" s="23" t="n"/>
      <c r="B54" s="16" t="n"/>
      <c r="C54" s="9" t="n"/>
      <c r="D54" s="9" t="n"/>
      <c r="E54" s="16" t="n"/>
      <c r="F54" s="16" t="n"/>
      <c r="G54" s="16" t="n"/>
      <c r="H54" s="16" t="n"/>
      <c r="I54" s="16" t="n"/>
      <c r="J54" s="26">
        <f>IF($I54="","",IF(OR($I54="N2",$I54="N3"),IF(AND($G54&lt;&gt;"",$H54&lt;&gt;""),"Completo","PENDENTE"),"N/A"))</f>
        <v/>
      </c>
    </row>
    <row r="55">
      <c r="A55" s="23" t="n"/>
      <c r="B55" s="16" t="n"/>
      <c r="C55" s="9" t="n"/>
      <c r="D55" s="9" t="n"/>
      <c r="E55" s="16" t="n"/>
      <c r="F55" s="16" t="n"/>
      <c r="G55" s="16" t="n"/>
      <c r="H55" s="16" t="n"/>
      <c r="I55" s="16" t="n"/>
      <c r="J55" s="26">
        <f>IF($I55="","",IF(OR($I55="N2",$I55="N3"),IF(AND($G55&lt;&gt;"",$H55&lt;&gt;""),"Completo","PENDENTE"),"N/A"))</f>
        <v/>
      </c>
    </row>
    <row r="56">
      <c r="A56" s="23" t="n"/>
      <c r="B56" s="16" t="n"/>
      <c r="C56" s="9" t="n"/>
      <c r="D56" s="9" t="n"/>
      <c r="E56" s="16" t="n"/>
      <c r="F56" s="16" t="n"/>
      <c r="G56" s="16" t="n"/>
      <c r="H56" s="16" t="n"/>
      <c r="I56" s="16" t="n"/>
      <c r="J56" s="26">
        <f>IF($I56="","",IF(OR($I56="N2",$I56="N3"),IF(AND($G56&lt;&gt;"",$H56&lt;&gt;""),"Completo","PENDENTE"),"N/A"))</f>
        <v/>
      </c>
    </row>
    <row r="57">
      <c r="A57" s="23" t="n"/>
      <c r="B57" s="16" t="n"/>
      <c r="C57" s="9" t="n"/>
      <c r="D57" s="9" t="n"/>
      <c r="E57" s="16" t="n"/>
      <c r="F57" s="16" t="n"/>
      <c r="G57" s="16" t="n"/>
      <c r="H57" s="16" t="n"/>
      <c r="I57" s="16" t="n"/>
      <c r="J57" s="26">
        <f>IF($I57="","",IF(OR($I57="N2",$I57="N3"),IF(AND($G57&lt;&gt;"",$H57&lt;&gt;""),"Completo","PENDENTE"),"N/A"))</f>
        <v/>
      </c>
    </row>
    <row r="58">
      <c r="A58" s="23" t="n"/>
      <c r="B58" s="16" t="n"/>
      <c r="C58" s="9" t="n"/>
      <c r="D58" s="9" t="n"/>
      <c r="E58" s="16" t="n"/>
      <c r="F58" s="16" t="n"/>
      <c r="G58" s="16" t="n"/>
      <c r="H58" s="16" t="n"/>
      <c r="I58" s="16" t="n"/>
      <c r="J58" s="26">
        <f>IF($I58="","",IF(OR($I58="N2",$I58="N3"),IF(AND($G58&lt;&gt;"",$H58&lt;&gt;""),"Completo","PENDENTE"),"N/A"))</f>
        <v/>
      </c>
    </row>
    <row r="59">
      <c r="A59" s="23" t="n"/>
      <c r="B59" s="16" t="n"/>
      <c r="C59" s="9" t="n"/>
      <c r="D59" s="9" t="n"/>
      <c r="E59" s="16" t="n"/>
      <c r="F59" s="16" t="n"/>
      <c r="G59" s="16" t="n"/>
      <c r="H59" s="16" t="n"/>
      <c r="I59" s="16" t="n"/>
      <c r="J59" s="26">
        <f>IF($I59="","",IF(OR($I59="N2",$I59="N3"),IF(AND($G59&lt;&gt;"",$H59&lt;&gt;""),"Completo","PENDENTE"),"N/A"))</f>
        <v/>
      </c>
    </row>
    <row r="60">
      <c r="A60" s="23" t="n"/>
      <c r="B60" s="16" t="n"/>
      <c r="C60" s="9" t="n"/>
      <c r="D60" s="9" t="n"/>
      <c r="E60" s="16" t="n"/>
      <c r="F60" s="16" t="n"/>
      <c r="G60" s="16" t="n"/>
      <c r="H60" s="16" t="n"/>
      <c r="I60" s="16" t="n"/>
      <c r="J60" s="26">
        <f>IF($I60="","",IF(OR($I60="N2",$I60="N3"),IF(AND($G60&lt;&gt;"",$H60&lt;&gt;""),"Completo","PENDENTE"),"N/A"))</f>
        <v/>
      </c>
    </row>
    <row r="61">
      <c r="A61" s="23" t="n"/>
      <c r="B61" s="16" t="n"/>
      <c r="C61" s="9" t="n"/>
      <c r="D61" s="9" t="n"/>
      <c r="E61" s="16" t="n"/>
      <c r="F61" s="16" t="n"/>
      <c r="G61" s="16" t="n"/>
      <c r="H61" s="16" t="n"/>
      <c r="I61" s="16" t="n"/>
      <c r="J61" s="26">
        <f>IF($I61="","",IF(OR($I61="N2",$I61="N3"),IF(AND($G61&lt;&gt;"",$H61&lt;&gt;""),"Completo","PENDENTE"),"N/A"))</f>
        <v/>
      </c>
    </row>
    <row r="62">
      <c r="A62" s="23" t="n"/>
      <c r="B62" s="16" t="n"/>
      <c r="C62" s="9" t="n"/>
      <c r="D62" s="9" t="n"/>
      <c r="E62" s="16" t="n"/>
      <c r="F62" s="16" t="n"/>
      <c r="G62" s="16" t="n"/>
      <c r="H62" s="16" t="n"/>
      <c r="I62" s="16" t="n"/>
      <c r="J62" s="26">
        <f>IF($I62="","",IF(OR($I62="N2",$I62="N3"),IF(AND($G62&lt;&gt;"",$H62&lt;&gt;""),"Completo","PENDENTE"),"N/A"))</f>
        <v/>
      </c>
    </row>
    <row r="63">
      <c r="A63" s="23" t="n"/>
      <c r="B63" s="16" t="n"/>
      <c r="C63" s="9" t="n"/>
      <c r="D63" s="9" t="n"/>
      <c r="E63" s="16" t="n"/>
      <c r="F63" s="16" t="n"/>
      <c r="G63" s="16" t="n"/>
      <c r="H63" s="16" t="n"/>
      <c r="I63" s="16" t="n"/>
      <c r="J63" s="26">
        <f>IF($I63="","",IF(OR($I63="N2",$I63="N3"),IF(AND($G63&lt;&gt;"",$H63&lt;&gt;""),"Completo","PENDENTE"),"N/A"))</f>
        <v/>
      </c>
    </row>
    <row r="64">
      <c r="A64" s="23" t="n"/>
      <c r="B64" s="16" t="n"/>
      <c r="C64" s="9" t="n"/>
      <c r="D64" s="9" t="n"/>
      <c r="E64" s="16" t="n"/>
      <c r="F64" s="16" t="n"/>
      <c r="G64" s="16" t="n"/>
      <c r="H64" s="16" t="n"/>
      <c r="I64" s="16" t="n"/>
      <c r="J64" s="26">
        <f>IF($I64="","",IF(OR($I64="N2",$I64="N3"),IF(AND($G64&lt;&gt;"",$H64&lt;&gt;""),"Completo","PENDENTE"),"N/A"))</f>
        <v/>
      </c>
    </row>
    <row r="65">
      <c r="A65" s="23" t="n"/>
      <c r="B65" s="16" t="n"/>
      <c r="C65" s="9" t="n"/>
      <c r="D65" s="9" t="n"/>
      <c r="E65" s="16" t="n"/>
      <c r="F65" s="16" t="n"/>
      <c r="G65" s="16" t="n"/>
      <c r="H65" s="16" t="n"/>
      <c r="I65" s="16" t="n"/>
      <c r="J65" s="26">
        <f>IF($I65="","",IF(OR($I65="N2",$I65="N3"),IF(AND($G65&lt;&gt;"",$H65&lt;&gt;""),"Completo","PENDENTE"),"N/A"))</f>
        <v/>
      </c>
    </row>
    <row r="66">
      <c r="A66" s="23" t="n"/>
      <c r="B66" s="16" t="n"/>
      <c r="C66" s="9" t="n"/>
      <c r="D66" s="9" t="n"/>
      <c r="E66" s="16" t="n"/>
      <c r="F66" s="16" t="n"/>
      <c r="G66" s="16" t="n"/>
      <c r="H66" s="16" t="n"/>
      <c r="I66" s="16" t="n"/>
      <c r="J66" s="26">
        <f>IF($I66="","",IF(OR($I66="N2",$I66="N3"),IF(AND($G66&lt;&gt;"",$H66&lt;&gt;""),"Completo","PENDENTE"),"N/A"))</f>
        <v/>
      </c>
    </row>
    <row r="67">
      <c r="A67" s="23" t="n"/>
      <c r="B67" s="16" t="n"/>
      <c r="C67" s="9" t="n"/>
      <c r="D67" s="9" t="n"/>
      <c r="E67" s="16" t="n"/>
      <c r="F67" s="16" t="n"/>
      <c r="G67" s="16" t="n"/>
      <c r="H67" s="16" t="n"/>
      <c r="I67" s="16" t="n"/>
      <c r="J67" s="26">
        <f>IF($I67="","",IF(OR($I67="N2",$I67="N3"),IF(AND($G67&lt;&gt;"",$H67&lt;&gt;""),"Completo","PENDENTE"),"N/A"))</f>
        <v/>
      </c>
    </row>
    <row r="68">
      <c r="A68" s="23" t="n"/>
      <c r="B68" s="16" t="n"/>
      <c r="C68" s="9" t="n"/>
      <c r="D68" s="9" t="n"/>
      <c r="E68" s="16" t="n"/>
      <c r="F68" s="16" t="n"/>
      <c r="G68" s="16" t="n"/>
      <c r="H68" s="16" t="n"/>
      <c r="I68" s="16" t="n"/>
      <c r="J68" s="26">
        <f>IF($I68="","",IF(OR($I68="N2",$I68="N3"),IF(AND($G68&lt;&gt;"",$H68&lt;&gt;""),"Completo","PENDENTE"),"N/A"))</f>
        <v/>
      </c>
    </row>
    <row r="69">
      <c r="A69" s="23" t="n"/>
      <c r="B69" s="16" t="n"/>
      <c r="C69" s="9" t="n"/>
      <c r="D69" s="9" t="n"/>
      <c r="E69" s="16" t="n"/>
      <c r="F69" s="16" t="n"/>
      <c r="G69" s="16" t="n"/>
      <c r="H69" s="16" t="n"/>
      <c r="I69" s="16" t="n"/>
      <c r="J69" s="26">
        <f>IF($I69="","",IF(OR($I69="N2",$I69="N3"),IF(AND($G69&lt;&gt;"",$H69&lt;&gt;""),"Completo","PENDENTE"),"N/A"))</f>
        <v/>
      </c>
    </row>
    <row r="70">
      <c r="A70" s="23" t="n"/>
      <c r="B70" s="16" t="n"/>
      <c r="C70" s="9" t="n"/>
      <c r="D70" s="9" t="n"/>
      <c r="E70" s="16" t="n"/>
      <c r="F70" s="16" t="n"/>
      <c r="G70" s="16" t="n"/>
      <c r="H70" s="16" t="n"/>
      <c r="I70" s="16" t="n"/>
      <c r="J70" s="26">
        <f>IF($I70="","",IF(OR($I70="N2",$I70="N3"),IF(AND($G70&lt;&gt;"",$H70&lt;&gt;""),"Completo","PENDENTE"),"N/A"))</f>
        <v/>
      </c>
    </row>
    <row r="71">
      <c r="A71" s="23" t="n"/>
      <c r="B71" s="16" t="n"/>
      <c r="C71" s="9" t="n"/>
      <c r="D71" s="9" t="n"/>
      <c r="E71" s="16" t="n"/>
      <c r="F71" s="16" t="n"/>
      <c r="G71" s="16" t="n"/>
      <c r="H71" s="16" t="n"/>
      <c r="I71" s="16" t="n"/>
      <c r="J71" s="26">
        <f>IF($I71="","",IF(OR($I71="N2",$I71="N3"),IF(AND($G71&lt;&gt;"",$H71&lt;&gt;""),"Completo","PENDENTE"),"N/A"))</f>
        <v/>
      </c>
    </row>
    <row r="72">
      <c r="A72" s="23" t="n"/>
      <c r="B72" s="16" t="n"/>
      <c r="C72" s="9" t="n"/>
      <c r="D72" s="9" t="n"/>
      <c r="E72" s="16" t="n"/>
      <c r="F72" s="16" t="n"/>
      <c r="G72" s="16" t="n"/>
      <c r="H72" s="16" t="n"/>
      <c r="I72" s="16" t="n"/>
      <c r="J72" s="26">
        <f>IF($I72="","",IF(OR($I72="N2",$I72="N3"),IF(AND($G72&lt;&gt;"",$H72&lt;&gt;""),"Completo","PENDENTE"),"N/A"))</f>
        <v/>
      </c>
    </row>
    <row r="73">
      <c r="A73" s="23" t="n"/>
      <c r="B73" s="16" t="n"/>
      <c r="C73" s="9" t="n"/>
      <c r="D73" s="9" t="n"/>
      <c r="E73" s="16" t="n"/>
      <c r="F73" s="16" t="n"/>
      <c r="G73" s="16" t="n"/>
      <c r="H73" s="16" t="n"/>
      <c r="I73" s="16" t="n"/>
      <c r="J73" s="26">
        <f>IF($I73="","",IF(OR($I73="N2",$I73="N3"),IF(AND($G73&lt;&gt;"",$H73&lt;&gt;""),"Completo","PENDENTE"),"N/A"))</f>
        <v/>
      </c>
    </row>
    <row r="74">
      <c r="A74" s="23" t="n"/>
      <c r="B74" s="16" t="n"/>
      <c r="C74" s="9" t="n"/>
      <c r="D74" s="9" t="n"/>
      <c r="E74" s="16" t="n"/>
      <c r="F74" s="16" t="n"/>
      <c r="G74" s="16" t="n"/>
      <c r="H74" s="16" t="n"/>
      <c r="I74" s="16" t="n"/>
      <c r="J74" s="26">
        <f>IF($I74="","",IF(OR($I74="N2",$I74="N3"),IF(AND($G74&lt;&gt;"",$H74&lt;&gt;""),"Completo","PENDENTE"),"N/A"))</f>
        <v/>
      </c>
    </row>
    <row r="75">
      <c r="A75" s="23" t="n"/>
      <c r="B75" s="16" t="n"/>
      <c r="C75" s="9" t="n"/>
      <c r="D75" s="9" t="n"/>
      <c r="E75" s="16" t="n"/>
      <c r="F75" s="16" t="n"/>
      <c r="G75" s="16" t="n"/>
      <c r="H75" s="16" t="n"/>
      <c r="I75" s="16" t="n"/>
      <c r="J75" s="26">
        <f>IF($I75="","",IF(OR($I75="N2",$I75="N3"),IF(AND($G75&lt;&gt;"",$H75&lt;&gt;""),"Completo","PENDENTE"),"N/A"))</f>
        <v/>
      </c>
    </row>
    <row r="76">
      <c r="A76" s="23" t="n"/>
      <c r="B76" s="16" t="n"/>
      <c r="C76" s="9" t="n"/>
      <c r="D76" s="9" t="n"/>
      <c r="E76" s="16" t="n"/>
      <c r="F76" s="16" t="n"/>
      <c r="G76" s="16" t="n"/>
      <c r="H76" s="16" t="n"/>
      <c r="I76" s="16" t="n"/>
      <c r="J76" s="26">
        <f>IF($I76="","",IF(OR($I76="N2",$I76="N3"),IF(AND($G76&lt;&gt;"",$H76&lt;&gt;""),"Completo","PENDENTE"),"N/A"))</f>
        <v/>
      </c>
    </row>
    <row r="77">
      <c r="A77" s="23" t="n"/>
      <c r="B77" s="16" t="n"/>
      <c r="C77" s="9" t="n"/>
      <c r="D77" s="9" t="n"/>
      <c r="E77" s="16" t="n"/>
      <c r="F77" s="16" t="n"/>
      <c r="G77" s="16" t="n"/>
      <c r="H77" s="16" t="n"/>
      <c r="I77" s="16" t="n"/>
      <c r="J77" s="26">
        <f>IF($I77="","",IF(OR($I77="N2",$I77="N3"),IF(AND($G77&lt;&gt;"",$H77&lt;&gt;""),"Completo","PENDENTE"),"N/A"))</f>
        <v/>
      </c>
    </row>
    <row r="78">
      <c r="A78" s="23" t="n"/>
      <c r="B78" s="16" t="n"/>
      <c r="C78" s="9" t="n"/>
      <c r="D78" s="9" t="n"/>
      <c r="E78" s="16" t="n"/>
      <c r="F78" s="16" t="n"/>
      <c r="G78" s="16" t="n"/>
      <c r="H78" s="16" t="n"/>
      <c r="I78" s="16" t="n"/>
      <c r="J78" s="26">
        <f>IF($I78="","",IF(OR($I78="N2",$I78="N3"),IF(AND($G78&lt;&gt;"",$H78&lt;&gt;""),"Completo","PENDENTE"),"N/A"))</f>
        <v/>
      </c>
    </row>
    <row r="79">
      <c r="A79" s="23" t="n"/>
      <c r="B79" s="16" t="n"/>
      <c r="C79" s="9" t="n"/>
      <c r="D79" s="9" t="n"/>
      <c r="E79" s="16" t="n"/>
      <c r="F79" s="16" t="n"/>
      <c r="G79" s="16" t="n"/>
      <c r="H79" s="16" t="n"/>
      <c r="I79" s="16" t="n"/>
      <c r="J79" s="26">
        <f>IF($I79="","",IF(OR($I79="N2",$I79="N3"),IF(AND($G79&lt;&gt;"",$H79&lt;&gt;""),"Completo","PENDENTE"),"N/A"))</f>
        <v/>
      </c>
    </row>
    <row r="80">
      <c r="A80" s="23" t="n"/>
      <c r="B80" s="16" t="n"/>
      <c r="C80" s="9" t="n"/>
      <c r="D80" s="9" t="n"/>
      <c r="E80" s="16" t="n"/>
      <c r="F80" s="16" t="n"/>
      <c r="G80" s="16" t="n"/>
      <c r="H80" s="16" t="n"/>
      <c r="I80" s="16" t="n"/>
      <c r="J80" s="26">
        <f>IF($I80="","",IF(OR($I80="N2",$I80="N3"),IF(AND($G80&lt;&gt;"",$H80&lt;&gt;""),"Completo","PENDENTE"),"N/A"))</f>
        <v/>
      </c>
    </row>
    <row r="81">
      <c r="A81" s="23" t="n"/>
      <c r="B81" s="16" t="n"/>
      <c r="C81" s="9" t="n"/>
      <c r="D81" s="9" t="n"/>
      <c r="E81" s="16" t="n"/>
      <c r="F81" s="16" t="n"/>
      <c r="G81" s="16" t="n"/>
      <c r="H81" s="16" t="n"/>
      <c r="I81" s="16" t="n"/>
      <c r="J81" s="26">
        <f>IF($I81="","",IF(OR($I81="N2",$I81="N3"),IF(AND($G81&lt;&gt;"",$H81&lt;&gt;""),"Completo","PENDENTE"),"N/A"))</f>
        <v/>
      </c>
    </row>
    <row r="82">
      <c r="A82" s="23" t="n"/>
      <c r="B82" s="16" t="n"/>
      <c r="C82" s="9" t="n"/>
      <c r="D82" s="9" t="n"/>
      <c r="E82" s="16" t="n"/>
      <c r="F82" s="16" t="n"/>
      <c r="G82" s="16" t="n"/>
      <c r="H82" s="16" t="n"/>
      <c r="I82" s="16" t="n"/>
      <c r="J82" s="26">
        <f>IF($I82="","",IF(OR($I82="N2",$I82="N3"),IF(AND($G82&lt;&gt;"",$H82&lt;&gt;""),"Completo","PENDENTE"),"N/A"))</f>
        <v/>
      </c>
    </row>
    <row r="83">
      <c r="A83" s="23" t="n"/>
      <c r="B83" s="16" t="n"/>
      <c r="C83" s="9" t="n"/>
      <c r="D83" s="9" t="n"/>
      <c r="E83" s="16" t="n"/>
      <c r="F83" s="16" t="n"/>
      <c r="G83" s="16" t="n"/>
      <c r="H83" s="16" t="n"/>
      <c r="I83" s="16" t="n"/>
      <c r="J83" s="26">
        <f>IF($I83="","",IF(OR($I83="N2",$I83="N3"),IF(AND($G83&lt;&gt;"",$H83&lt;&gt;""),"Completo","PENDENTE"),"N/A"))</f>
        <v/>
      </c>
    </row>
    <row r="84">
      <c r="A84" s="23" t="n"/>
      <c r="B84" s="16" t="n"/>
      <c r="C84" s="9" t="n"/>
      <c r="D84" s="9" t="n"/>
      <c r="E84" s="16" t="n"/>
      <c r="F84" s="16" t="n"/>
      <c r="G84" s="16" t="n"/>
      <c r="H84" s="16" t="n"/>
      <c r="I84" s="16" t="n"/>
      <c r="J84" s="26">
        <f>IF($I84="","",IF(OR($I84="N2",$I84="N3"),IF(AND($G84&lt;&gt;"",$H84&lt;&gt;""),"Completo","PENDENTE"),"N/A"))</f>
        <v/>
      </c>
    </row>
    <row r="85">
      <c r="A85" s="23" t="n"/>
      <c r="B85" s="16" t="n"/>
      <c r="C85" s="9" t="n"/>
      <c r="D85" s="9" t="n"/>
      <c r="E85" s="16" t="n"/>
      <c r="F85" s="16" t="n"/>
      <c r="G85" s="16" t="n"/>
      <c r="H85" s="16" t="n"/>
      <c r="I85" s="16" t="n"/>
      <c r="J85" s="26">
        <f>IF($I85="","",IF(OR($I85="N2",$I85="N3"),IF(AND($G85&lt;&gt;"",$H85&lt;&gt;""),"Completo","PENDENTE"),"N/A"))</f>
        <v/>
      </c>
    </row>
    <row r="86">
      <c r="A86" s="23" t="n"/>
      <c r="B86" s="16" t="n"/>
      <c r="C86" s="9" t="n"/>
      <c r="D86" s="9" t="n"/>
      <c r="E86" s="16" t="n"/>
      <c r="F86" s="16" t="n"/>
      <c r="G86" s="16" t="n"/>
      <c r="H86" s="16" t="n"/>
      <c r="I86" s="16" t="n"/>
      <c r="J86" s="26">
        <f>IF($I86="","",IF(OR($I86="N2",$I86="N3"),IF(AND($G86&lt;&gt;"",$H86&lt;&gt;""),"Completo","PENDENTE"),"N/A"))</f>
        <v/>
      </c>
    </row>
    <row r="87">
      <c r="A87" s="23" t="n"/>
      <c r="B87" s="16" t="n"/>
      <c r="C87" s="9" t="n"/>
      <c r="D87" s="9" t="n"/>
      <c r="E87" s="16" t="n"/>
      <c r="F87" s="16" t="n"/>
      <c r="G87" s="16" t="n"/>
      <c r="H87" s="16" t="n"/>
      <c r="I87" s="16" t="n"/>
      <c r="J87" s="26">
        <f>IF($I87="","",IF(OR($I87="N2",$I87="N3"),IF(AND($G87&lt;&gt;"",$H87&lt;&gt;""),"Completo","PENDENTE"),"N/A"))</f>
        <v/>
      </c>
    </row>
    <row r="88">
      <c r="A88" s="23" t="n"/>
      <c r="B88" s="16" t="n"/>
      <c r="C88" s="9" t="n"/>
      <c r="D88" s="9" t="n"/>
      <c r="E88" s="16" t="n"/>
      <c r="F88" s="16" t="n"/>
      <c r="G88" s="16" t="n"/>
      <c r="H88" s="16" t="n"/>
      <c r="I88" s="16" t="n"/>
      <c r="J88" s="26">
        <f>IF($I88="","",IF(OR($I88="N2",$I88="N3"),IF(AND($G88&lt;&gt;"",$H88&lt;&gt;""),"Completo","PENDENTE"),"N/A"))</f>
        <v/>
      </c>
    </row>
    <row r="89">
      <c r="A89" s="23" t="n"/>
      <c r="B89" s="16" t="n"/>
      <c r="C89" s="9" t="n"/>
      <c r="D89" s="9" t="n"/>
      <c r="E89" s="16" t="n"/>
      <c r="F89" s="16" t="n"/>
      <c r="G89" s="16" t="n"/>
      <c r="H89" s="16" t="n"/>
      <c r="I89" s="16" t="n"/>
      <c r="J89" s="26">
        <f>IF($I89="","",IF(OR($I89="N2",$I89="N3"),IF(AND($G89&lt;&gt;"",$H89&lt;&gt;""),"Completo","PENDENTE"),"N/A"))</f>
        <v/>
      </c>
    </row>
    <row r="90">
      <c r="A90" s="23" t="n"/>
      <c r="B90" s="16" t="n"/>
      <c r="C90" s="9" t="n"/>
      <c r="D90" s="9" t="n"/>
      <c r="E90" s="16" t="n"/>
      <c r="F90" s="16" t="n"/>
      <c r="G90" s="16" t="n"/>
      <c r="H90" s="16" t="n"/>
      <c r="I90" s="16" t="n"/>
      <c r="J90" s="26">
        <f>IF($I90="","",IF(OR($I90="N2",$I90="N3"),IF(AND($G90&lt;&gt;"",$H90&lt;&gt;""),"Completo","PENDENTE"),"N/A"))</f>
        <v/>
      </c>
    </row>
    <row r="91">
      <c r="A91" s="23" t="n"/>
      <c r="B91" s="16" t="n"/>
      <c r="C91" s="9" t="n"/>
      <c r="D91" s="9" t="n"/>
      <c r="E91" s="16" t="n"/>
      <c r="F91" s="16" t="n"/>
      <c r="G91" s="16" t="n"/>
      <c r="H91" s="16" t="n"/>
      <c r="I91" s="16" t="n"/>
      <c r="J91" s="26">
        <f>IF($I91="","",IF(OR($I91="N2",$I91="N3"),IF(AND($G91&lt;&gt;"",$H91&lt;&gt;""),"Completo","PENDENTE"),"N/A"))</f>
        <v/>
      </c>
    </row>
    <row r="92">
      <c r="A92" s="23" t="n"/>
      <c r="B92" s="16" t="n"/>
      <c r="C92" s="9" t="n"/>
      <c r="D92" s="9" t="n"/>
      <c r="E92" s="16" t="n"/>
      <c r="F92" s="16" t="n"/>
      <c r="G92" s="16" t="n"/>
      <c r="H92" s="16" t="n"/>
      <c r="I92" s="16" t="n"/>
      <c r="J92" s="26">
        <f>IF($I92="","",IF(OR($I92="N2",$I92="N3"),IF(AND($G92&lt;&gt;"",$H92&lt;&gt;""),"Completo","PENDENTE"),"N/A"))</f>
        <v/>
      </c>
    </row>
    <row r="93">
      <c r="A93" s="23" t="n"/>
      <c r="B93" s="16" t="n"/>
      <c r="C93" s="9" t="n"/>
      <c r="D93" s="9" t="n"/>
      <c r="E93" s="16" t="n"/>
      <c r="F93" s="16" t="n"/>
      <c r="G93" s="16" t="n"/>
      <c r="H93" s="16" t="n"/>
      <c r="I93" s="16" t="n"/>
      <c r="J93" s="26">
        <f>IF($I93="","",IF(OR($I93="N2",$I93="N3"),IF(AND($G93&lt;&gt;"",$H93&lt;&gt;""),"Completo","PENDENTE"),"N/A"))</f>
        <v/>
      </c>
    </row>
    <row r="94">
      <c r="A94" s="23" t="n"/>
      <c r="B94" s="16" t="n"/>
      <c r="C94" s="9" t="n"/>
      <c r="D94" s="9" t="n"/>
      <c r="E94" s="16" t="n"/>
      <c r="F94" s="16" t="n"/>
      <c r="G94" s="16" t="n"/>
      <c r="H94" s="16" t="n"/>
      <c r="I94" s="16" t="n"/>
      <c r="J94" s="26">
        <f>IF($I94="","",IF(OR($I94="N2",$I94="N3"),IF(AND($G94&lt;&gt;"",$H94&lt;&gt;""),"Completo","PENDENTE"),"N/A"))</f>
        <v/>
      </c>
    </row>
    <row r="95">
      <c r="A95" s="23" t="n"/>
      <c r="B95" s="16" t="n"/>
      <c r="C95" s="9" t="n"/>
      <c r="D95" s="9" t="n"/>
      <c r="E95" s="16" t="n"/>
      <c r="F95" s="16" t="n"/>
      <c r="G95" s="16" t="n"/>
      <c r="H95" s="16" t="n"/>
      <c r="I95" s="16" t="n"/>
      <c r="J95" s="26">
        <f>IF($I95="","",IF(OR($I95="N2",$I95="N3"),IF(AND($G95&lt;&gt;"",$H95&lt;&gt;""),"Completo","PENDENTE"),"N/A"))</f>
        <v/>
      </c>
    </row>
    <row r="96">
      <c r="A96" s="23" t="n"/>
      <c r="B96" s="16" t="n"/>
      <c r="C96" s="9" t="n"/>
      <c r="D96" s="9" t="n"/>
      <c r="E96" s="16" t="n"/>
      <c r="F96" s="16" t="n"/>
      <c r="G96" s="16" t="n"/>
      <c r="H96" s="16" t="n"/>
      <c r="I96" s="16" t="n"/>
      <c r="J96" s="26">
        <f>IF($I96="","",IF(OR($I96="N2",$I96="N3"),IF(AND($G96&lt;&gt;"",$H96&lt;&gt;""),"Completo","PENDENTE"),"N/A"))</f>
        <v/>
      </c>
    </row>
    <row r="97">
      <c r="A97" s="23" t="n"/>
      <c r="B97" s="16" t="n"/>
      <c r="C97" s="9" t="n"/>
      <c r="D97" s="9" t="n"/>
      <c r="E97" s="16" t="n"/>
      <c r="F97" s="16" t="n"/>
      <c r="G97" s="16" t="n"/>
      <c r="H97" s="16" t="n"/>
      <c r="I97" s="16" t="n"/>
      <c r="J97" s="26">
        <f>IF($I97="","",IF(OR($I97="N2",$I97="N3"),IF(AND($G97&lt;&gt;"",$H97&lt;&gt;""),"Completo","PENDENTE"),"N/A"))</f>
        <v/>
      </c>
    </row>
    <row r="98">
      <c r="A98" s="23" t="n"/>
      <c r="B98" s="16" t="n"/>
      <c r="C98" s="9" t="n"/>
      <c r="D98" s="9" t="n"/>
      <c r="E98" s="16" t="n"/>
      <c r="F98" s="16" t="n"/>
      <c r="G98" s="16" t="n"/>
      <c r="H98" s="16" t="n"/>
      <c r="I98" s="16" t="n"/>
      <c r="J98" s="26">
        <f>IF($I98="","",IF(OR($I98="N2",$I98="N3"),IF(AND($G98&lt;&gt;"",$H98&lt;&gt;""),"Completo","PENDENTE"),"N/A"))</f>
        <v/>
      </c>
    </row>
    <row r="99">
      <c r="A99" s="23" t="n"/>
      <c r="B99" s="16" t="n"/>
      <c r="C99" s="9" t="n"/>
      <c r="D99" s="9" t="n"/>
      <c r="E99" s="16" t="n"/>
      <c r="F99" s="16" t="n"/>
      <c r="G99" s="16" t="n"/>
      <c r="H99" s="16" t="n"/>
      <c r="I99" s="16" t="n"/>
      <c r="J99" s="26">
        <f>IF($I99="","",IF(OR($I99="N2",$I99="N3"),IF(AND($G99&lt;&gt;"",$H99&lt;&gt;""),"Completo","PENDENTE"),"N/A"))</f>
        <v/>
      </c>
    </row>
    <row r="100">
      <c r="A100" s="23" t="n"/>
      <c r="B100" s="16" t="n"/>
      <c r="C100" s="9" t="n"/>
      <c r="D100" s="9" t="n"/>
      <c r="E100" s="16" t="n"/>
      <c r="F100" s="16" t="n"/>
      <c r="G100" s="16" t="n"/>
      <c r="H100" s="16" t="n"/>
      <c r="I100" s="16" t="n"/>
      <c r="J100" s="26">
        <f>IF($I100="","",IF(OR($I100="N2",$I100="N3"),IF(AND($G100&lt;&gt;"",$H100&lt;&gt;""),"Completo","PENDENTE"),"N/A"))</f>
        <v/>
      </c>
    </row>
    <row r="101">
      <c r="A101" s="23" t="n"/>
      <c r="B101" s="16" t="n"/>
      <c r="C101" s="9" t="n"/>
      <c r="D101" s="9" t="n"/>
      <c r="E101" s="16" t="n"/>
      <c r="F101" s="16" t="n"/>
      <c r="G101" s="16" t="n"/>
      <c r="H101" s="16" t="n"/>
      <c r="I101" s="16" t="n"/>
      <c r="J101" s="26">
        <f>IF($I101="","",IF(OR($I101="N2",$I101="N3"),IF(AND($G101&lt;&gt;"",$H101&lt;&gt;""),"Completo","PENDENTE"),"N/A"))</f>
        <v/>
      </c>
    </row>
    <row r="102">
      <c r="A102" s="23" t="n"/>
      <c r="B102" s="16" t="n"/>
      <c r="C102" s="9" t="n"/>
      <c r="D102" s="9" t="n"/>
      <c r="E102" s="16" t="n"/>
      <c r="F102" s="16" t="n"/>
      <c r="G102" s="16" t="n"/>
      <c r="H102" s="16" t="n"/>
      <c r="I102" s="16" t="n"/>
      <c r="J102" s="26">
        <f>IF($I102="","",IF(OR($I102="N2",$I102="N3"),IF(AND($G102&lt;&gt;"",$H102&lt;&gt;""),"Completo","PENDENTE"),"N/A"))</f>
        <v/>
      </c>
    </row>
    <row r="103">
      <c r="A103" s="23" t="n"/>
      <c r="B103" s="16" t="n"/>
      <c r="C103" s="9" t="n"/>
      <c r="D103" s="9" t="n"/>
      <c r="E103" s="16" t="n"/>
      <c r="F103" s="16" t="n"/>
      <c r="G103" s="16" t="n"/>
      <c r="H103" s="16" t="n"/>
      <c r="I103" s="16" t="n"/>
      <c r="J103" s="26">
        <f>IF($I103="","",IF(OR($I103="N2",$I103="N3"),IF(AND($G103&lt;&gt;"",$H103&lt;&gt;""),"Completo","PENDENTE"),"N/A"))</f>
        <v/>
      </c>
    </row>
    <row r="104">
      <c r="A104" s="23" t="n"/>
      <c r="B104" s="16" t="n"/>
      <c r="C104" s="9" t="n"/>
      <c r="D104" s="9" t="n"/>
      <c r="E104" s="16" t="n"/>
      <c r="F104" s="16" t="n"/>
      <c r="G104" s="16" t="n"/>
      <c r="H104" s="16" t="n"/>
      <c r="I104" s="16" t="n"/>
      <c r="J104" s="26">
        <f>IF($I104="","",IF(OR($I104="N2",$I104="N3"),IF(AND($G104&lt;&gt;"",$H104&lt;&gt;""),"Completo","PENDENTE"),"N/A"))</f>
        <v/>
      </c>
    </row>
    <row r="105">
      <c r="A105" s="23" t="n"/>
      <c r="B105" s="16" t="n"/>
      <c r="C105" s="9" t="n"/>
      <c r="D105" s="9" t="n"/>
      <c r="E105" s="16" t="n"/>
      <c r="F105" s="16" t="n"/>
      <c r="G105" s="16" t="n"/>
      <c r="H105" s="16" t="n"/>
      <c r="I105" s="16" t="n"/>
      <c r="J105" s="26">
        <f>IF($I105="","",IF(OR($I105="N2",$I105="N3"),IF(AND($G105&lt;&gt;"",$H105&lt;&gt;""),"Completo","PENDENTE"),"N/A"))</f>
        <v/>
      </c>
    </row>
    <row r="106">
      <c r="A106" s="23" t="n"/>
      <c r="B106" s="16" t="n"/>
      <c r="C106" s="9" t="n"/>
      <c r="D106" s="9" t="n"/>
      <c r="E106" s="16" t="n"/>
      <c r="F106" s="16" t="n"/>
      <c r="G106" s="16" t="n"/>
      <c r="H106" s="16" t="n"/>
      <c r="I106" s="16" t="n"/>
      <c r="J106" s="26">
        <f>IF($I106="","",IF(OR($I106="N2",$I106="N3"),IF(AND($G106&lt;&gt;"",$H106&lt;&gt;""),"Completo","PENDENTE"),"N/A"))</f>
        <v/>
      </c>
    </row>
    <row r="107">
      <c r="A107" s="23" t="n"/>
      <c r="B107" s="16" t="n"/>
      <c r="C107" s="9" t="n"/>
      <c r="D107" s="9" t="n"/>
      <c r="E107" s="16" t="n"/>
      <c r="F107" s="16" t="n"/>
      <c r="G107" s="16" t="n"/>
      <c r="H107" s="16" t="n"/>
      <c r="I107" s="16" t="n"/>
      <c r="J107" s="26">
        <f>IF($I107="","",IF(OR($I107="N2",$I107="N3"),IF(AND($G107&lt;&gt;"",$H107&lt;&gt;""),"Completo","PENDENTE"),"N/A"))</f>
        <v/>
      </c>
    </row>
    <row r="108">
      <c r="A108" s="23" t="n"/>
      <c r="B108" s="16" t="n"/>
      <c r="C108" s="9" t="n"/>
      <c r="D108" s="9" t="n"/>
      <c r="E108" s="16" t="n"/>
      <c r="F108" s="16" t="n"/>
      <c r="G108" s="16" t="n"/>
      <c r="H108" s="16" t="n"/>
      <c r="I108" s="16" t="n"/>
      <c r="J108" s="26">
        <f>IF($I108="","",IF(OR($I108="N2",$I108="N3"),IF(AND($G108&lt;&gt;"",$H108&lt;&gt;""),"Completo","PENDENTE"),"N/A"))</f>
        <v/>
      </c>
    </row>
    <row r="109">
      <c r="A109" s="23" t="n"/>
      <c r="B109" s="16" t="n"/>
      <c r="C109" s="9" t="n"/>
      <c r="D109" s="9" t="n"/>
      <c r="E109" s="16" t="n"/>
      <c r="F109" s="16" t="n"/>
      <c r="G109" s="16" t="n"/>
      <c r="H109" s="16" t="n"/>
      <c r="I109" s="16" t="n"/>
      <c r="J109" s="26">
        <f>IF($I109="","",IF(OR($I109="N2",$I109="N3"),IF(AND($G109&lt;&gt;"",$H109&lt;&gt;""),"Completo","PENDENTE"),"N/A"))</f>
        <v/>
      </c>
    </row>
    <row r="110">
      <c r="A110" s="23" t="n"/>
      <c r="B110" s="16" t="n"/>
      <c r="C110" s="9" t="n"/>
      <c r="D110" s="9" t="n"/>
      <c r="E110" s="16" t="n"/>
      <c r="F110" s="16" t="n"/>
      <c r="G110" s="16" t="n"/>
      <c r="H110" s="16" t="n"/>
      <c r="I110" s="16" t="n"/>
      <c r="J110" s="26">
        <f>IF($I110="","",IF(OR($I110="N2",$I110="N3"),IF(AND($G110&lt;&gt;"",$H110&lt;&gt;""),"Completo","PENDENTE"),"N/A"))</f>
        <v/>
      </c>
    </row>
    <row r="111">
      <c r="A111" s="23" t="n"/>
      <c r="B111" s="16" t="n"/>
      <c r="C111" s="9" t="n"/>
      <c r="D111" s="9" t="n"/>
      <c r="E111" s="16" t="n"/>
      <c r="F111" s="16" t="n"/>
      <c r="G111" s="16" t="n"/>
      <c r="H111" s="16" t="n"/>
      <c r="I111" s="16" t="n"/>
      <c r="J111" s="26">
        <f>IF($I111="","",IF(OR($I111="N2",$I111="N3"),IF(AND($G111&lt;&gt;"",$H111&lt;&gt;""),"Completo","PENDENTE"),"N/A"))</f>
        <v/>
      </c>
    </row>
    <row r="112">
      <c r="A112" s="23" t="n"/>
      <c r="B112" s="16" t="n"/>
      <c r="C112" s="9" t="n"/>
      <c r="D112" s="9" t="n"/>
      <c r="E112" s="16" t="n"/>
      <c r="F112" s="16" t="n"/>
      <c r="G112" s="16" t="n"/>
      <c r="H112" s="16" t="n"/>
      <c r="I112" s="16" t="n"/>
      <c r="J112" s="26">
        <f>IF($I112="","",IF(OR($I112="N2",$I112="N3"),IF(AND($G112&lt;&gt;"",$H112&lt;&gt;""),"Completo","PENDENTE"),"N/A"))</f>
        <v/>
      </c>
    </row>
    <row r="113">
      <c r="A113" s="23" t="n"/>
      <c r="B113" s="16" t="n"/>
      <c r="C113" s="9" t="n"/>
      <c r="D113" s="9" t="n"/>
      <c r="E113" s="16" t="n"/>
      <c r="F113" s="16" t="n"/>
      <c r="G113" s="16" t="n"/>
      <c r="H113" s="16" t="n"/>
      <c r="I113" s="16" t="n"/>
      <c r="J113" s="26">
        <f>IF($I113="","",IF(OR($I113="N2",$I113="N3"),IF(AND($G113&lt;&gt;"",$H113&lt;&gt;""),"Completo","PENDENTE"),"N/A"))</f>
        <v/>
      </c>
    </row>
    <row r="114">
      <c r="A114" s="23" t="n"/>
      <c r="B114" s="16" t="n"/>
      <c r="C114" s="9" t="n"/>
      <c r="D114" s="9" t="n"/>
      <c r="E114" s="16" t="n"/>
      <c r="F114" s="16" t="n"/>
      <c r="G114" s="16" t="n"/>
      <c r="H114" s="16" t="n"/>
      <c r="I114" s="16" t="n"/>
      <c r="J114" s="26">
        <f>IF($I114="","",IF(OR($I114="N2",$I114="N3"),IF(AND($G114&lt;&gt;"",$H114&lt;&gt;""),"Completo","PENDENTE"),"N/A"))</f>
        <v/>
      </c>
    </row>
    <row r="115">
      <c r="A115" s="23" t="n"/>
      <c r="B115" s="16" t="n"/>
      <c r="C115" s="9" t="n"/>
      <c r="D115" s="9" t="n"/>
      <c r="E115" s="16" t="n"/>
      <c r="F115" s="16" t="n"/>
      <c r="G115" s="16" t="n"/>
      <c r="H115" s="16" t="n"/>
      <c r="I115" s="16" t="n"/>
      <c r="J115" s="26">
        <f>IF($I115="","",IF(OR($I115="N2",$I115="N3"),IF(AND($G115&lt;&gt;"",$H115&lt;&gt;""),"Completo","PENDENTE"),"N/A"))</f>
        <v/>
      </c>
    </row>
    <row r="116">
      <c r="A116" s="23" t="n"/>
      <c r="B116" s="16" t="n"/>
      <c r="C116" s="9" t="n"/>
      <c r="D116" s="9" t="n"/>
      <c r="E116" s="16" t="n"/>
      <c r="F116" s="16" t="n"/>
      <c r="G116" s="16" t="n"/>
      <c r="H116" s="16" t="n"/>
      <c r="I116" s="16" t="n"/>
      <c r="J116" s="26">
        <f>IF($I116="","",IF(OR($I116="N2",$I116="N3"),IF(AND($G116&lt;&gt;"",$H116&lt;&gt;""),"Completo","PENDENTE"),"N/A"))</f>
        <v/>
      </c>
    </row>
    <row r="117">
      <c r="A117" s="23" t="n"/>
      <c r="B117" s="16" t="n"/>
      <c r="C117" s="9" t="n"/>
      <c r="D117" s="9" t="n"/>
      <c r="E117" s="16" t="n"/>
      <c r="F117" s="16" t="n"/>
      <c r="G117" s="16" t="n"/>
      <c r="H117" s="16" t="n"/>
      <c r="I117" s="16" t="n"/>
      <c r="J117" s="26">
        <f>IF($I117="","",IF(OR($I117="N2",$I117="N3"),IF(AND($G117&lt;&gt;"",$H117&lt;&gt;""),"Completo","PENDENTE"),"N/A"))</f>
        <v/>
      </c>
    </row>
    <row r="118">
      <c r="A118" s="23" t="n"/>
      <c r="B118" s="16" t="n"/>
      <c r="C118" s="9" t="n"/>
      <c r="D118" s="9" t="n"/>
      <c r="E118" s="16" t="n"/>
      <c r="F118" s="16" t="n"/>
      <c r="G118" s="16" t="n"/>
      <c r="H118" s="16" t="n"/>
      <c r="I118" s="16" t="n"/>
      <c r="J118" s="26">
        <f>IF($I118="","",IF(OR($I118="N2",$I118="N3"),IF(AND($G118&lt;&gt;"",$H118&lt;&gt;""),"Completo","PENDENTE"),"N/A"))</f>
        <v/>
      </c>
    </row>
    <row r="119">
      <c r="A119" s="23" t="n"/>
      <c r="B119" s="16" t="n"/>
      <c r="C119" s="9" t="n"/>
      <c r="D119" s="9" t="n"/>
      <c r="E119" s="16" t="n"/>
      <c r="F119" s="16" t="n"/>
      <c r="G119" s="16" t="n"/>
      <c r="H119" s="16" t="n"/>
      <c r="I119" s="16" t="n"/>
      <c r="J119" s="26">
        <f>IF($I119="","",IF(OR($I119="N2",$I119="N3"),IF(AND($G119&lt;&gt;"",$H119&lt;&gt;""),"Completo","PENDENTE"),"N/A"))</f>
        <v/>
      </c>
    </row>
    <row r="120">
      <c r="A120" s="23" t="n"/>
      <c r="B120" s="16" t="n"/>
      <c r="C120" s="9" t="n"/>
      <c r="D120" s="9" t="n"/>
      <c r="E120" s="16" t="n"/>
      <c r="F120" s="16" t="n"/>
      <c r="G120" s="16" t="n"/>
      <c r="H120" s="16" t="n"/>
      <c r="I120" s="16" t="n"/>
      <c r="J120" s="26">
        <f>IF($I120="","",IF(OR($I120="N2",$I120="N3"),IF(AND($G120&lt;&gt;"",$H120&lt;&gt;""),"Completo","PENDENTE"),"N/A"))</f>
        <v/>
      </c>
    </row>
    <row r="121">
      <c r="A121" s="23" t="n"/>
      <c r="B121" s="16" t="n"/>
      <c r="C121" s="9" t="n"/>
      <c r="D121" s="9" t="n"/>
      <c r="E121" s="16" t="n"/>
      <c r="F121" s="16" t="n"/>
      <c r="G121" s="16" t="n"/>
      <c r="H121" s="16" t="n"/>
      <c r="I121" s="16" t="n"/>
      <c r="J121" s="26">
        <f>IF($I121="","",IF(OR($I121="N2",$I121="N3"),IF(AND($G121&lt;&gt;"",$H121&lt;&gt;""),"Completo","PENDENTE"),"N/A"))</f>
        <v/>
      </c>
    </row>
    <row r="122">
      <c r="A122" s="23" t="n"/>
      <c r="B122" s="16" t="n"/>
      <c r="C122" s="9" t="n"/>
      <c r="D122" s="9" t="n"/>
      <c r="E122" s="16" t="n"/>
      <c r="F122" s="16" t="n"/>
      <c r="G122" s="16" t="n"/>
      <c r="H122" s="16" t="n"/>
      <c r="I122" s="16" t="n"/>
      <c r="J122" s="26">
        <f>IF($I122="","",IF(OR($I122="N2",$I122="N3"),IF(AND($G122&lt;&gt;"",$H122&lt;&gt;""),"Completo","PENDENTE"),"N/A"))</f>
        <v/>
      </c>
    </row>
    <row r="123">
      <c r="A123" s="23" t="n"/>
      <c r="B123" s="16" t="n"/>
      <c r="C123" s="9" t="n"/>
      <c r="D123" s="9" t="n"/>
      <c r="E123" s="16" t="n"/>
      <c r="F123" s="16" t="n"/>
      <c r="G123" s="16" t="n"/>
      <c r="H123" s="16" t="n"/>
      <c r="I123" s="16" t="n"/>
      <c r="J123" s="26">
        <f>IF($I123="","",IF(OR($I123="N2",$I123="N3"),IF(AND($G123&lt;&gt;"",$H123&lt;&gt;""),"Completo","PENDENTE"),"N/A"))</f>
        <v/>
      </c>
    </row>
  </sheetData>
  <dataValidations count="1">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showDropDown="0" showInputMessage="0" showErrorMessage="0" allowBlank="1" type="list">
      <formula1>"N0,N1,N2,N3"</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outlineLevelCol="0"/>
  <cols>
    <col width="4" customWidth="1" min="1" max="1"/>
    <col width="38" customWidth="1" min="2" max="2"/>
    <col width="18" customWidth="1" min="3" max="3"/>
    <col width="4" customWidth="1" min="4" max="4"/>
    <col width="26" customWidth="1" min="5" max="5"/>
    <col width="12" customWidth="1" min="6" max="6"/>
    <col width="4" customWidth="1" min="7" max="7"/>
    <col width="22" customWidth="1" min="8" max="8"/>
    <col width="14" customWidth="1" min="9" max="9"/>
  </cols>
  <sheetData>
    <row r="1">
      <c r="A1" s="1" t="inlineStr">
        <is>
          <t>DASHBOARD EXECUTIVO — MM Negócios Veículos</t>
        </is>
      </c>
    </row>
    <row r="2">
      <c r="A2" s="2" t="inlineStr">
        <is>
          <t>Visão CEO / CFO / Diretor Comercial (Pilar 13)</t>
        </is>
      </c>
    </row>
    <row r="4">
      <c r="A4" s="3" t="inlineStr">
        <is>
          <t>INDICADORES FINANCEIROS</t>
        </is>
      </c>
    </row>
    <row r="5">
      <c r="A5" s="5" t="inlineStr">
        <is>
          <t>Lucro Médio por Moto Vendida (R$)</t>
        </is>
      </c>
      <c r="C5" s="27">
        <f>'10-Indicadores-KPIs'!C4</f>
        <v/>
      </c>
    </row>
    <row r="6">
      <c r="A6" s="5" t="inlineStr">
        <is>
          <t>Margem Líquida Média Realizada (%)</t>
        </is>
      </c>
      <c r="C6" s="28">
        <f>'10-Indicadores-KPIs'!C5</f>
        <v/>
      </c>
    </row>
    <row r="7">
      <c r="A7" s="5" t="inlineStr">
        <is>
          <t>Capital Investido Total em Estoque (R$)</t>
        </is>
      </c>
      <c r="C7" s="27">
        <f>'10-Indicadores-KPIs'!C7</f>
        <v/>
      </c>
    </row>
    <row r="8">
      <c r="A8" s="5" t="inlineStr">
        <is>
          <t>Capital Parado (Atenção + Crítico) (R$)</t>
        </is>
      </c>
      <c r="C8" s="27">
        <f>'10-Indicadores-KPIs'!C8</f>
        <v/>
      </c>
    </row>
    <row r="9">
      <c r="A9" s="5" t="inlineStr">
        <is>
          <t>ROI Médio (sobre motos vendidas)</t>
        </is>
      </c>
      <c r="C9" s="28">
        <f>'10-Indicadores-KPIs'!C15</f>
        <v/>
      </c>
    </row>
    <row r="11">
      <c r="A11" s="3" t="inlineStr">
        <is>
          <t>INDICADORES COMERCIAIS E DE ESTOQUE</t>
        </is>
      </c>
    </row>
    <row r="12">
      <c r="A12" s="5" t="inlineStr">
        <is>
          <t>Desconto Médio Praticado (%)</t>
        </is>
      </c>
      <c r="C12" s="29">
        <f>'10-Indicadores-KPIs'!C6</f>
        <v/>
      </c>
    </row>
    <row r="13">
      <c r="A13" s="5" t="inlineStr">
        <is>
          <t>Tempo Médio em Estoque — motos vendidas (dias)</t>
        </is>
      </c>
      <c r="C13" s="30">
        <f>'10-Indicadores-KPIs'!C9</f>
        <v/>
      </c>
    </row>
    <row r="14">
      <c r="A14" s="5" t="inlineStr">
        <is>
          <t>Nº de Motos acima de 90 dias (Fase 4)</t>
        </is>
      </c>
      <c r="C14" s="30">
        <f>'10-Indicadores-KPIs'!C10</f>
        <v/>
      </c>
    </row>
    <row r="15">
      <c r="A15" s="5" t="inlineStr">
        <is>
          <t>Nº de Motos em Estoque Crítico</t>
        </is>
      </c>
      <c r="C15" s="30">
        <f>'10-Indicadores-KPIs'!C11</f>
        <v/>
      </c>
    </row>
    <row r="16">
      <c r="A16" s="5" t="inlineStr">
        <is>
          <t>Nº de Motos em Estoque Premium</t>
        </is>
      </c>
      <c r="C16" s="30">
        <f>'10-Indicadores-KPIs'!C12</f>
        <v/>
      </c>
    </row>
    <row r="17">
      <c r="A17" s="5" t="inlineStr">
        <is>
          <t>% de Vendas no Preço Comercial ou Acima</t>
        </is>
      </c>
      <c r="C17" s="29">
        <f>'10-Indicadores-KPIs'!C13</f>
        <v/>
      </c>
    </row>
    <row r="18">
      <c r="A18" s="5" t="inlineStr">
        <is>
          <t>Nº de Vendas Abaixo do LP (não-conformidades)</t>
        </is>
      </c>
      <c r="C18" s="30">
        <f>'10-Indicadores-KPIs'!C14</f>
        <v/>
      </c>
    </row>
    <row r="21">
      <c r="A21" s="2" t="inlineStr">
        <is>
          <t>RESUMO PARA GRÁFICOS (não editar)</t>
        </is>
      </c>
    </row>
    <row r="22">
      <c r="A22" t="inlineStr">
        <is>
          <t>Fase do Ciclo</t>
        </is>
      </c>
      <c r="B22" t="inlineStr">
        <is>
          <t>Qtde Motos</t>
        </is>
      </c>
    </row>
    <row r="23">
      <c r="A23" t="inlineStr">
        <is>
          <t>Fase 1 - Lançamento (0-30)</t>
        </is>
      </c>
      <c r="B23">
        <f>COUNTIF('07-Estoque-Dinamica'!$E$4:$E$123,"Fase 1 - Lançamento (0-30)")</f>
        <v/>
      </c>
    </row>
    <row r="24">
      <c r="A24" t="inlineStr">
        <is>
          <t>Fase 2 - Consolidação (31-60)</t>
        </is>
      </c>
      <c r="B24">
        <f>COUNTIF('07-Estoque-Dinamica'!$E$4:$E$123,"Fase 2 - Consolidação (31-60)")</f>
        <v/>
      </c>
    </row>
    <row r="25">
      <c r="A25" t="inlineStr">
        <is>
          <t>Fase 3 - Aceleração de Giro (61-90)</t>
        </is>
      </c>
      <c r="B25">
        <f>COUNTIF('07-Estoque-Dinamica'!$E$4:$E$123,"Fase 3 - Aceleração de Giro (61-90)")</f>
        <v/>
      </c>
    </row>
    <row r="26">
      <c r="A26" t="inlineStr">
        <is>
          <t>Fase 4 - Estoque Envelhecido (&gt;90)</t>
        </is>
      </c>
      <c r="B26">
        <f>COUNTIF('07-Estoque-Dinamica'!$E$4:$E$123,"Fase 4 - Estoque Envelhecido (&gt;90)")</f>
        <v/>
      </c>
    </row>
    <row r="28">
      <c r="A28" s="2" t="inlineStr">
        <is>
          <t>Vendedor</t>
        </is>
      </c>
      <c r="B28" s="2" t="inlineStr">
        <is>
          <t>Lucro Total Entregue (R$)</t>
        </is>
      </c>
    </row>
    <row r="29">
      <c r="A29">
        <f>'09-Ranking-Vendedores'!B4</f>
        <v/>
      </c>
      <c r="B29" s="11">
        <f>'09-Ranking-Vendedores'!G4</f>
        <v/>
      </c>
    </row>
    <row r="30">
      <c r="A30">
        <f>'09-Ranking-Vendedores'!B5</f>
        <v/>
      </c>
      <c r="B30" s="11">
        <f>'09-Ranking-Vendedores'!G5</f>
        <v/>
      </c>
    </row>
    <row r="31">
      <c r="A31">
        <f>'09-Ranking-Vendedores'!B6</f>
        <v/>
      </c>
      <c r="B31" s="11">
        <f>'09-Ranking-Vendedores'!G6</f>
        <v/>
      </c>
    </row>
    <row r="32">
      <c r="A32">
        <f>'09-Ranking-Vendedores'!B7</f>
        <v/>
      </c>
      <c r="B32" s="11">
        <f>'09-Ranking-Vendedores'!G7</f>
        <v/>
      </c>
    </row>
    <row r="33">
      <c r="A33">
        <f>'09-Ranking-Vendedores'!B8</f>
        <v/>
      </c>
      <c r="B33" s="11">
        <f>'09-Ranking-Vendedores'!G8</f>
        <v/>
      </c>
    </row>
    <row r="34">
      <c r="A34">
        <f>'09-Ranking-Vendedores'!B9</f>
        <v/>
      </c>
      <c r="B34" s="11">
        <f>'09-Ranking-Vendedores'!G9</f>
        <v/>
      </c>
    </row>
    <row r="35">
      <c r="A35">
        <f>'09-Ranking-Vendedores'!B10</f>
        <v/>
      </c>
      <c r="B35" s="11">
        <f>'09-Ranking-Vendedores'!G10</f>
        <v/>
      </c>
    </row>
    <row r="36">
      <c r="A36">
        <f>'09-Ranking-Vendedores'!B11</f>
        <v/>
      </c>
      <c r="B36" s="11">
        <f>'09-Ranking-Vendedores'!G11</f>
        <v/>
      </c>
    </row>
    <row r="37">
      <c r="A37">
        <f>'09-Ranking-Vendedores'!B12</f>
        <v/>
      </c>
      <c r="B37" s="11">
        <f>'09-Ranking-Vendedores'!G12</f>
        <v/>
      </c>
    </row>
    <row r="38">
      <c r="A38">
        <f>'09-Ranking-Vendedores'!B13</f>
        <v/>
      </c>
      <c r="B38" s="11">
        <f>'09-Ranking-Vendedores'!G13</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2026-07-07T15:26:38Z</dcterms:created>
  <dcterms:modified xsi:type="dcterms:W3CDTF">2026-07-07T15:26:38Z</dcterms:modified>
</cp:coreProperties>
</file>